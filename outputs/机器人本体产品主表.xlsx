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42c06559d54c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决策摘要" sheetId="1" r:id="R06242a5d99524c64"/>
    <x:sheet xmlns:r="http://schemas.openxmlformats.org/officeDocument/2006/relationships" name="场景评分" sheetId="2" r:id="Rfab33a3904874aa3"/>
    <x:sheet xmlns:r="http://schemas.openxmlformats.org/officeDocument/2006/relationships" name="参数主表" sheetId="3" r:id="R4144183da65c4d9c"/>
    <x:sheet xmlns:r="http://schemas.openxmlformats.org/officeDocument/2006/relationships" name="问题清单" sheetId="4" r:id="Rd5bbee69f4d64883"/>
    <x:sheet xmlns:r="http://schemas.openxmlformats.org/officeDocument/2006/relationships" name="来源证据" sheetId="5" r:id="Rc0eb9c952cd747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0%"/>
  </x:numFmts>
  <x:fonts count="8">
    <x:font>
      <x:sz val="11"/>
      <x:name val="Carlito"/>
    </x:font>
    <x:font>
      <x:sz val="10"/>
      <x:color rgb="FF1F2937"/>
      <x:name val="Arial"/>
    </x:font>
    <x:font>
      <x:b/>
      <x:sz val="15"/>
      <x:color rgb="FFFFFFFF"/>
      <x:name val="Arial"/>
    </x:font>
    <x:font>
      <x:b/>
      <x:sz val="11"/>
      <x:color rgb="FF7F6000"/>
      <x:name val="Carlito"/>
    </x:font>
    <x:font>
      <x:b/>
      <x:sz val="10"/>
      <x:color rgb="FFFFFFFF"/>
      <x:name val="Carlito"/>
    </x:font>
    <x:font>
      <x:i/>
      <x:sz val="11"/>
      <x:color rgb="FF17365D"/>
      <x:name val="Carlito"/>
    </x:font>
    <x:font>
      <x:b/>
      <x:sz val="10"/>
      <x:color rgb="FF1F2937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AF3F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horizont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horizontal="center"/>
    </x:xf>
    <x:xf numFmtId="201" fontId="7" fillId="4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6"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aee006ccd6414c" /><Relationship Type="http://schemas.openxmlformats.org/officeDocument/2006/relationships/theme" Target="/xl/theme/theme1.xml" Id="Rbfb635df64824cbf" /><Relationship Type="http://schemas.openxmlformats.org/officeDocument/2006/relationships/sharedStrings" Target="/xl/sharedStrings.xml" Id="R953ddd0570404024" /><Relationship Type="http://schemas.openxmlformats.org/officeDocument/2006/relationships/worksheet" Target="/xl/worksheets/sheet1.xml" Id="R06242a5d99524c64" /><Relationship Type="http://schemas.openxmlformats.org/officeDocument/2006/relationships/worksheet" Target="/xl/worksheets/sheet2.xml" Id="Rfab33a3904874aa3" /><Relationship Type="http://schemas.openxmlformats.org/officeDocument/2006/relationships/worksheet" Target="/xl/worksheets/sheet3.xml" Id="R4144183da65c4d9c" /><Relationship Type="http://schemas.openxmlformats.org/officeDocument/2006/relationships/worksheet" Target="/xl/worksheets/sheet4.xml" Id="Rd5bbee69f4d64883" /><Relationship Type="http://schemas.openxmlformats.org/officeDocument/2006/relationships/worksheet" Target="/xl/worksheets/sheet5.xml" Id="Rc0eb9c952cd74709" /></Relationships>
</file>

<file path=xl/tables/table1.xml><?xml version="1.0" encoding="utf-8"?>
<x:table xmlns:x="http://schemas.openxmlformats.org/spreadsheetml/2006/main" id="1" name="ScenarioScores" displayName="ScenarioScores" ref="A6:M16" headerRowCount="1" totalsRowCount="0" totalsRowShown="0">
  <x:tableColumns count="13">
    <x:tableColumn id="1" name="厂商"/>
    <x:tableColumn id="2" name="型号"/>
    <x:tableColumn id="3" name="参与移动排名"/>
    <x:tableColumn id="4" name="蟹行硬门槛"/>
    <x:tableColumn id="5" name="底盘移动"/>
    <x:tableColumn id="6" name="工作空间"/>
    <x:tableColumn id="7" name="力控柔顺"/>
    <x:tableColumn id="8" name="精度"/>
    <x:tableColumn id="9" name="接口开放"/>
    <x:tableColumn id="10" name="工业成熟"/>
    <x:tableColumn id="11" name="综合分"/>
    <x:tableColumn id="12" name="建议"/>
    <x:tableColumn id="13" name="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botMasterData" displayName="RobotMasterData" ref="A3:AK13" headerRowCount="1" totalsRowCount="0" totalsRowShown="0">
  <x:tableColumns count="37">
    <x:tableColumn id="1" name="model_id"/>
    <x:tableColumn id="2" name="vendor"/>
    <x:tableColumn id="3" name="model"/>
    <x:tableColumn id="4" name="category"/>
    <x:tableColumn id="5" name="product_stage"/>
    <x:tableColumn id="6" name="total_dof_excl_ee"/>
    <x:tableColumn id="7" name="arm_dof_each"/>
    <x:tableColumn id="8" name="torso_dof"/>
    <x:tableColumn id="9" name="head_dof"/>
    <x:tableColumn id="10" name="base_planar_dof"/>
    <x:tableColumn id="11" name="base_type"/>
    <x:tableColumn id="12" name="crab_supported"/>
    <x:tableColumn id="13" name="base_speed_mps"/>
    <x:tableColumn id="14" name="height_min_mm"/>
    <x:tableColumn id="15" name="height_max_mm"/>
    <x:tableColumn id="16" name="width_mm"/>
    <x:tableColumn id="17" name="length_mm"/>
    <x:tableColumn id="18" name="weight_kg"/>
    <x:tableColumn id="19" name="arm_reach_mm"/>
    <x:tableColumn id="20" name="bimanual_span_mm"/>
    <x:tableColumn id="21" name="payload_per_arm_rated_kg"/>
    <x:tableColumn id="22" name="payload_per_arm_peak_kg"/>
    <x:tableColumn id="23" name="bimanual_rated_kg"/>
    <x:tableColumn id="24" name="bimanual_peak_kg"/>
    <x:tableColumn id="25" name="vertical_workspace_m"/>
    <x:tableColumn id="26" name="repeatability_mm"/>
    <x:tableColumn id="27" name="absolute_accuracy_mm"/>
    <x:tableColumn id="28" name="force_control"/>
    <x:tableColumn id="29" name="force_resolution_nm"/>
    <x:tableColumn id="30" name="force_sample_hz"/>
    <x:tableColumn id="31" name="compute"/>
    <x:tableColumn id="32" name="runtime_h"/>
    <x:tableColumn id="33" name="ip_rating"/>
    <x:tableColumn id="34" name="end_effector"/>
    <x:tableColumn id="35" name="interfaces"/>
    <x:tableColumn id="36" name="evidence_level"/>
    <x:tableColumn id="3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upplierQuestions" displayName="SupplierQuestions" ref="A3:J21" headerRowCount="1" totalsRowCount="0" totalsRowShown="0">
  <x:tableColumns count="10">
    <x:tableColumn id="1" name="question_id"/>
    <x:tableColumn id="2" name="vendor"/>
    <x:tableColumn id="3" name="model"/>
    <x:tableColumn id="4" name="priority"/>
    <x:tableColumn id="5" name="category"/>
    <x:tableColumn id="6" name="question"/>
    <x:tableColumn id="7" name="current_evidence"/>
    <x:tableColumn id="8" name="status"/>
    <x:tableColumn id="9" name="owner"/>
    <x:tableColumn id="10" name="due_da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videnceSources" displayName="EvidenceSources" ref="A3:I14" headerRowCount="1" totalsRowCount="0" totalsRowShown="0">
  <x:tableColumns count="9">
    <x:tableColumn id="1" name="source_id"/>
    <x:tableColumn id="2" name="model_id"/>
    <x:tableColumn id="3" name="source_type"/>
    <x:tableColumn id="4" name="title"/>
    <x:tableColumn id="5" name="source_locator"/>
    <x:tableColumn id="6" name="document_date"/>
    <x:tableColumn id="7" name="accessed_date"/>
    <x:tableColumn id="8" name="confidence"/>
    <x:tableColumn id="9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89f68ab153c410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8ad26e95f4e425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ff5b907c53843b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76ca5ab740f4230" /></Relationships>
</file>

<file path=xl/worksheets/sheet1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25" hidden="0" customWidth="1"/>
    <x:col min="4" max="4" width="12" hidden="0" customWidth="1"/>
    <x:col min="5" max="5" width="12" hidden="0" customWidth="1"/>
    <x:col min="6" max="6" width="20" hidden="0" customWidth="1"/>
    <x:col min="7" max="7" width="54" hidden="0" customWidth="1"/>
  </x:cols>
  <x:sheetData>
    <x:row r="1" ht="30" customHeight="1">
      <x:c r="A1" s="5" t="str">
        <x:v>机器人本体决策摘要｜工厂布线 / 捋线场景</x:v>
      </x:c>
      <x:c r="B1" s="5"/>
      <x:c r="C1" s="5"/>
      <x:c r="D1" s="5"/>
      <x:c r="E1" s="5"/>
      <x:c r="F1" s="5"/>
      <x:c r="G1" s="5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</x:row>
    <x:row r="3" ht="34" customHeight="1">
      <x:c r="A3" s="8" t="str">
        <x:v>硬门槛：底盘必须支持保持机身朝向的横移 / 蟹行。差速底盘不能用路径规划等价替代，会增加停顿、摆动和线束扰动。</x:v>
      </x:c>
      <x:c r="B3" s="8"/>
      <x:c r="C3" s="8"/>
      <x:c r="D3" s="8"/>
      <x:c r="E3" s="8"/>
      <x:c r="F3" s="8"/>
      <x:c r="G3" s="8"/>
    </x:row>
    <x:row r="5">
      <x:c r="A5" s="13" t="str">
        <x:v>当前优先级</x:v>
      </x:c>
      <x:c r="B5" s="13" t="str">
        <x:v>厂商</x:v>
      </x:c>
      <x:c r="C5" s="13" t="str">
        <x:v>型号</x:v>
      </x:c>
      <x:c r="D5" s="13" t="str">
        <x:v>综合分</x:v>
      </x:c>
      <x:c r="E5" s="13" t="str">
        <x:v>硬门槛</x:v>
      </x:c>
      <x:c r="F5" s="13" t="str">
        <x:v>建议</x:v>
      </x:c>
      <x:c r="G5" s="13" t="str">
        <x:v>主要判断</x:v>
      </x:c>
    </x:row>
    <x:row r="6" ht="32" customHeight="1">
      <x:c r="A6" s="15" t="n">
        <x:v>1</x:v>
      </x:c>
      <x:c r="B6" s="15" t="str">
        <x:v>智元</x:v>
      </x:c>
      <x:c r="C6" s="15" t="str">
        <x:v>AgiBot 精灵G2</x:v>
      </x:c>
      <x:c r="D6" s="16" t="n">
        <x:v>4.6</x:v>
      </x:c>
      <x:c r="E6" s="15" t="str">
        <x:v>通过</x:v>
      </x:c>
      <x:c r="F6" s="15" t="str">
        <x:v>优先 POC</x:v>
      </x:c>
      <x:c r="G6" s="15" t="str">
        <x:v>四舵轮、5自由度躯干、全关节力矩传感；需验证横移后整链路精度</x:v>
      </x:c>
    </x:row>
    <x:row r="7" ht="32" customHeight="1">
      <x:c r="A7" s="15" t="n">
        <x:v>2</x:v>
      </x:c>
      <x:c r="B7" s="15" t="str">
        <x:v>星尘</x:v>
      </x:c>
      <x:c r="C7" s="15" t="str">
        <x:v>Astribot S1</x:v>
      </x:c>
      <x:c r="D7" s="16" t="n">
        <x:v>3.95</x:v>
      </x:c>
      <x:c r="E7" s="15" t="str">
        <x:v>通过待实测</x:v>
      </x:c>
      <x:c r="F7" s="15" t="str">
        <x:v>条件 POC</x:v>
      </x:c>
      <x:c r="G7" s="15" t="str">
        <x:v>论文确认全向底盘；量产配置、接口和工业认证资料不足</x:v>
      </x:c>
    </x:row>
    <x:row r="8" ht="32" customHeight="1">
      <x:c r="A8" s="15" t="n">
        <x:v>3</x:v>
      </x:c>
      <x:c r="B8" s="15" t="str">
        <x:v>智动力</x:v>
      </x:c>
      <x:c r="C8" s="15" t="str">
        <x:v>D1 擎骏系列</x:v>
      </x:c>
      <x:c r="D8" s="16" t="n">
        <x:v>3.8</x:v>
      </x:c>
      <x:c r="E8" s="15" t="str">
        <x:v>通过待实测</x:v>
      </x:c>
      <x:c r="F8" s="15" t="str">
        <x:v>条件 POC</x:v>
      </x:c>
      <x:c r="G8" s="15" t="str">
        <x:v>四轮四转明确支持蟹行；整机重且精度和力控证据不足</x:v>
      </x:c>
    </x:row>
    <x:row r="9" ht="32" customHeight="1">
      <x:c r="A9" s="15" t="n">
        <x:v>4</x:v>
      </x:c>
      <x:c r="B9" s="15" t="str">
        <x:v>宇树</x:v>
      </x:c>
      <x:c r="C9" s="15" t="str">
        <x:v>Unitree G1-D 旗舰版</x:v>
      </x:c>
      <x:c r="D9" s="16" t="n">
        <x:v>2.3</x:v>
      </x:c>
      <x:c r="E9" s="15" t="str">
        <x:v>不通过</x:v>
      </x:c>
      <x:c r="F9" s="15" t="str">
        <x:v>不进入布线 POC</x:v>
      </x:c>
      <x:c r="G9" s="15" t="str">
        <x:v>差速底盘不能纯横移；更偏数据采集和开发平台</x:v>
      </x:c>
    </x:row>
    <x:row r="10" ht="32" customHeight="1">
      <x:c r="A10" s="15" t="n">
        <x:v>5</x:v>
      </x:c>
      <x:c r="B10" s="15" t="str">
        <x:v>智动力</x:v>
      </x:c>
      <x:c r="C10" s="15" t="str">
        <x:v>JUNO2-SD 龙骏系列</x:v>
      </x:c>
      <x:c r="D10" s="16" t="n">
        <x:v>2.15</x:v>
      </x:c>
      <x:c r="E10" s="15" t="str">
        <x:v>不通过</x:v>
      </x:c>
      <x:c r="F10" s="15" t="str">
        <x:v>不进入布线 POC</x:v>
      </x:c>
      <x:c r="G10" s="15" t="str">
        <x:v>差速底盘为硬伤；重复定位和力控指标未公开</x:v>
      </x:c>
    </x:row>
    <x:row r="11" ht="32" customHeight="1">
      <x:c r="A11" s="15" t="n">
        <x:v>6</x:v>
      </x:c>
      <x:c r="B11" s="15" t="str">
        <x:v>宇树</x:v>
      </x:c>
      <x:c r="C11" s="15" t="str">
        <x:v>Unitree G1-D 通用版</x:v>
      </x:c>
      <x:c r="D11" s="16" t="n">
        <x:v>2.05</x:v>
      </x:c>
      <x:c r="E11" s="15" t="str">
        <x:v>不通过</x:v>
      </x:c>
      <x:c r="F11" s="15" t="str">
        <x:v>不进入布线 POC</x:v>
      </x:c>
      <x:c r="G11" s="15" t="str">
        <x:v>官方参数未提供主动移动底盘</x:v>
      </x:c>
    </x:row>
    <x:row r="12" ht="32" customHeight="1">
      <x:c r="A12" s="15" t="n">
        <x:v>7</x:v>
      </x:c>
      <x:c r="B12" s="15" t="str">
        <x:v>智动力</x:v>
      </x:c>
      <x:c r="C12" s="15" t="str">
        <x:v>JUNO1-P 智骏系列</x:v>
      </x:c>
      <x:c r="D12" s="16" t="n">
        <x:v>2</x:v>
      </x:c>
      <x:c r="E12" s="15" t="str">
        <x:v>不通过</x:v>
      </x:c>
      <x:c r="F12" s="15" t="str">
        <x:v>不进入布线 POC</x:v>
      </x:c>
      <x:c r="G12" s="15" t="str">
        <x:v>差速底盘为硬伤；负载和升降能力低于JUNO2</x:v>
      </x:c>
    </x:row>
    <x:row r="13" ht="32" customHeight="1">
      <x:c r="A13" s="15" t="n">
        <x:v>8</x:v>
      </x:c>
      <x:c r="B13" s="15" t="str">
        <x:v>智动力</x:v>
      </x:c>
      <x:c r="C13" s="15" t="str">
        <x:v>L1 灵骏系列</x:v>
      </x:c>
      <x:c r="D13" s="16" t="n">
        <x:v>1.85</x:v>
      </x:c>
      <x:c r="E13" s="15" t="str">
        <x:v>不通过</x:v>
      </x:c>
      <x:c r="F13" s="15" t="str">
        <x:v>不进入布线 POC</x:v>
      </x:c>
      <x:c r="G13" s="15" t="str">
        <x:v>差速底盘且负载、臂展和躯干能力较弱</x:v>
      </x:c>
    </x:row>
    <x:row r="15" ht="32" customHeight="1">
      <x:c r="A15" s="19" t="str">
        <x:v>说明：综合分不能越过硬门槛。星尘 S1 和智动力 D1 的全向能力仍需实机确认；D1 体积、重量与工程代价较高。</x:v>
      </x:c>
      <x:c r="B15" s="19"/>
      <x:c r="C15" s="19"/>
      <x:c r="D15" s="19"/>
      <x:c r="E15" s="19"/>
      <x:c r="F15" s="19"/>
      <x:c r="G15" s="19"/>
    </x:row>
  </x:sheetData>
  <x:mergeCells>
    <x:mergeCell ref="A1:G1"/>
    <x:mergeCell ref="A3:G3"/>
    <x:mergeCell ref="A15:G15"/>
  </x:mergeCells>
  <x:conditionalFormatting sqref="D6:D13">
    <x:cfRule type="colorScale" priority="1">
      <x:colorScale>
        <x:cfvo type="min"/>
        <x:cfvo type="percentile" val="50"/>
        <x:cfvo type="max"/>
        <x:color rgb="FFFCE4D6"/>
        <x:color rgb="FFFFF2CC"/>
        <x:color rgb="FFE2F0D9"/>
      </x:colorScale>
    </x:cfRule>
  </x:conditionalFormatting>
  <x:conditionalFormatting sqref="E6:E13">
    <x:cfRule type="cellIs" dxfId="0" priority="2">
      <x:formula>"不通过"</x:formula>
    </x:cfRule>
    <x:cfRule type="cellIs" dxfId="1" priority="3">
      <x:formula>"通过"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6" topLeftCell="A7" activePane="bottomLeft" state="frozen"/>
    </x:sheetView>
  </x:sheetViews>
  <x:sheetFormatPr defaultRowHeight="15"/>
  <x:cols>
    <x:col min="1" max="1" width="11" hidden="0" customWidth="1"/>
    <x:col min="2" max="2" width="26" hidden="0" customWidth="1"/>
    <x:col min="3" max="3" width="13" hidden="0" customWidth="1"/>
    <x:col min="4" max="4" width="13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0" hidden="0" customWidth="1"/>
    <x:col min="12" max="12" width="22" hidden="0" customWidth="1"/>
    <x:col min="13" max="13" width="54" hidden="0" customWidth="1"/>
  </x:cols>
  <x:sheetData>
    <x:row r="1">
      <x:c r="A1" s="5" t="str">
        <x:v>场景适配评分｜0=不具备，5=领先；综合分由权重自动计算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</x:row>
    <x:row r="3">
      <x:c r="A3" s="24" t="str">
        <x:v>评分维度</x:v>
      </x:c>
      <x:c r="B3" s="24" t="str">
        <x:v>底盘全向与贴线能力</x:v>
      </x:c>
      <x:c r="C3" s="24" t="str">
        <x:v>双臂与躯干工作空间</x:v>
      </x:c>
      <x:c r="D3" s="24" t="str">
        <x:v>力控与柔顺能力</x:v>
      </x:c>
      <x:c r="E3" s="24" t="str">
        <x:v>定位与视觉闭环</x:v>
      </x:c>
      <x:c r="F3" s="24" t="str">
        <x:v>SDK与末端接口成熟度</x:v>
      </x:c>
      <x:c r="G3" s="24" t="str">
        <x:v>工业可靠性与维护</x:v>
      </x:c>
    </x:row>
    <x:row r="4">
      <x:c r="A4" s="26" t="str">
        <x:v>权重</x:v>
      </x:c>
      <x:c r="B4" s="27" t="n">
        <x:v>0.25</x:v>
      </x:c>
      <x:c r="C4" s="27" t="n">
        <x:v>0.15</x:v>
      </x:c>
      <x:c r="D4" s="27" t="n">
        <x:v>0.2</x:v>
      </x:c>
      <x:c r="E4" s="27" t="n">
        <x:v>0.15</x:v>
      </x:c>
      <x:c r="F4" s="27" t="n">
        <x:v>0.1</x:v>
      </x:c>
      <x:c r="G4" s="27" t="n">
        <x:v>0.15</x:v>
      </x:c>
    </x:row>
    <x:row r="6">
      <x:c r="A6" s="13" t="str">
        <x:v>厂商</x:v>
      </x:c>
      <x:c r="B6" s="13" t="str">
        <x:v>型号</x:v>
      </x:c>
      <x:c r="C6" s="13" t="str">
        <x:v>参与移动排名</x:v>
      </x:c>
      <x:c r="D6" s="13" t="str">
        <x:v>蟹行硬门槛</x:v>
      </x:c>
      <x:c r="E6" s="13" t="str">
        <x:v>底盘移动</x:v>
      </x:c>
      <x:c r="F6" s="13" t="str">
        <x:v>工作空间</x:v>
      </x:c>
      <x:c r="G6" s="13" t="str">
        <x:v>力控柔顺</x:v>
      </x:c>
      <x:c r="H6" s="13" t="str">
        <x:v>精度</x:v>
      </x:c>
      <x:c r="I6" s="13" t="str">
        <x:v>接口开放</x:v>
      </x:c>
      <x:c r="J6" s="13" t="str">
        <x:v>工业成熟</x:v>
      </x:c>
      <x:c r="K6" s="13" t="str">
        <x:v>综合分</x:v>
      </x:c>
      <x:c r="L6" s="13" t="str">
        <x:v>建议</x:v>
      </x:c>
      <x:c r="M6" s="13" t="str">
        <x:v>说明</x:v>
      </x:c>
    </x:row>
    <x:row r="7" ht="30" customHeight="1">
      <x:c r="A7" s="15" t="str">
        <x:v>智元</x:v>
      </x:c>
      <x:c r="B7" s="15" t="str">
        <x:v>AgiBot 精灵G2</x:v>
      </x:c>
      <x:c r="C7" s="15" t="str">
        <x:v>是</x:v>
      </x:c>
      <x:c r="D7" s="15" t="str">
        <x:v>通过</x:v>
      </x:c>
      <x:c r="E7" s="15" t="n">
        <x:v>5</x:v>
      </x:c>
      <x:c r="F7" s="15" t="n">
        <x:v>5</x:v>
      </x:c>
      <x:c r="G7" s="15" t="n">
        <x:v>5</x:v>
      </x:c>
      <x:c r="H7" s="15" t="n">
        <x:v>4</x:v>
      </x:c>
      <x:c r="I7" s="15" t="n">
        <x:v>4</x:v>
      </x:c>
      <x:c r="J7" s="15" t="n">
        <x:v>4</x:v>
      </x:c>
      <x:c r="K7" s="16" t="n">
        <x:f>IF(C7&lt;&gt;"是","",SUMPRODUCT(E7:J7,$B$4:$G$4))</x:f>
        <x:v>4.6</x:v>
      </x:c>
      <x:c r="L7" s="15" t="str">
        <x:f>IF(C7&lt;&gt;"是","不参与移动本体排名",IF(D7="不通过","不进入布线POC",IF(K7&gt;=4.2,"优先POC",IF(K7&gt;=3.5,"条件POC","补齐资料后再评估"))))</x:f>
        <x:v>优先POC</x:v>
      </x:c>
      <x:c r="M7" s="15" t="str">
        <x:v>四舵轮、5自由度躯干、全关节力矩传感；需验证横移后整链路精度</x:v>
      </x:c>
    </x:row>
    <x:row r="8" ht="30" customHeight="1">
      <x:c r="A8" s="15" t="str">
        <x:v>星尘</x:v>
      </x:c>
      <x:c r="B8" s="15" t="str">
        <x:v>Astribot S1</x:v>
      </x:c>
      <x:c r="C8" s="15" t="str">
        <x:v>是</x:v>
      </x:c>
      <x:c r="D8" s="15" t="str">
        <x:v>通过待实测</x:v>
      </x:c>
      <x:c r="E8" s="15" t="n">
        <x:v>5</x:v>
      </x:c>
      <x:c r="F8" s="15" t="n">
        <x:v>5</x:v>
      </x:c>
      <x:c r="G8" s="15" t="n">
        <x:v>3</x:v>
      </x:c>
      <x:c r="H8" s="15" t="n">
        <x:v>4</x:v>
      </x:c>
      <x:c r="I8" s="15" t="n">
        <x:v>3</x:v>
      </x:c>
      <x:c r="J8" s="15" t="n">
        <x:v>3</x:v>
      </x:c>
      <x:c r="K8" s="16" t="n">
        <x:f>IF(C8&lt;&gt;"是","",SUMPRODUCT(E8:J8,$B$4:$G$4))</x:f>
        <x:v>3.95</x:v>
      </x:c>
      <x:c r="L8" s="15" t="str">
        <x:f>IF(C8&lt;&gt;"是","不参与移动本体排名",IF(D8="不通过","不进入布线POC",IF(K8&gt;=4.2,"优先POC",IF(K8&gt;=3.5,"条件POC","补齐资料后再评估"))))</x:f>
        <x:v>条件POC</x:v>
      </x:c>
      <x:c r="M8" s="15" t="str">
        <x:v>论文确认全向底盘；量产配置、接口和工业认证资料不足</x:v>
      </x:c>
    </x:row>
    <x:row r="9" ht="30" customHeight="1">
      <x:c r="A9" s="15" t="str">
        <x:v>智动力</x:v>
      </x:c>
      <x:c r="B9" s="15" t="str">
        <x:v>D1 擎骏系列</x:v>
      </x:c>
      <x:c r="C9" s="15" t="str">
        <x:v>是</x:v>
      </x:c>
      <x:c r="D9" s="15" t="str">
        <x:v>通过待实测</x:v>
      </x:c>
      <x:c r="E9" s="15" t="n">
        <x:v>5</x:v>
      </x:c>
      <x:c r="F9" s="15" t="n">
        <x:v>5</x:v>
      </x:c>
      <x:c r="G9" s="15" t="n">
        <x:v>3</x:v>
      </x:c>
      <x:c r="H9" s="15" t="n">
        <x:v>3</x:v>
      </x:c>
      <x:c r="I9" s="15" t="n">
        <x:v>3</x:v>
      </x:c>
      <x:c r="J9" s="15" t="n">
        <x:v>3</x:v>
      </x:c>
      <x:c r="K9" s="16" t="n">
        <x:f>IF(C9&lt;&gt;"是","",SUMPRODUCT(E9:J9,$B$4:$G$4))</x:f>
        <x:v>3.8</x:v>
      </x:c>
      <x:c r="L9" s="15" t="str">
        <x:f>IF(C9&lt;&gt;"是","不参与移动本体排名",IF(D9="不通过","不进入布线POC",IF(K9&gt;=4.2,"优先POC",IF(K9&gt;=3.5,"条件POC","补齐资料后再评估"))))</x:f>
        <x:v>条件POC</x:v>
      </x:c>
      <x:c r="M9" s="15" t="str">
        <x:v>四轮四转明确支持蟹行；整机重且精度和力控证据不足</x:v>
      </x:c>
    </x:row>
    <x:row r="10" ht="30" customHeight="1">
      <x:c r="A10" s="15" t="str">
        <x:v>宇树</x:v>
      </x:c>
      <x:c r="B10" s="15" t="str">
        <x:v>Unitree G1-D 旗舰版</x:v>
      </x:c>
      <x:c r="C10" s="15" t="str">
        <x:v>是</x:v>
      </x:c>
      <x:c r="D10" s="15" t="str">
        <x:v>不通过</x:v>
      </x:c>
      <x:c r="E10" s="15" t="n">
        <x:v>1</x:v>
      </x:c>
      <x:c r="F10" s="15" t="n">
        <x:v>4</x:v>
      </x:c>
      <x:c r="G10" s="15" t="n">
        <x:v>2</x:v>
      </x:c>
      <x:c r="H10" s="15" t="n">
        <x:v>3</x:v>
      </x:c>
      <x:c r="I10" s="15" t="n">
        <x:v>3</x:v>
      </x:c>
      <x:c r="J10" s="15" t="n">
        <x:v>2</x:v>
      </x:c>
      <x:c r="K10" s="16" t="n">
        <x:f>IF(C10&lt;&gt;"是","",SUMPRODUCT(E10:J10,$B$4:$G$4))</x:f>
        <x:v>2.3</x:v>
      </x:c>
      <x:c r="L10" s="15" t="str">
        <x:f>IF(C10&lt;&gt;"是","不参与移动本体排名",IF(D10="不通过","不进入布线POC",IF(K10&gt;=4.2,"优先POC",IF(K10&gt;=3.5,"条件POC","补齐资料后再评估"))))</x:f>
        <x:v>不进入布线POC</x:v>
      </x:c>
      <x:c r="M10" s="15" t="str">
        <x:v>差速底盘不能纯横移；更偏数据采集和开发平台</x:v>
      </x:c>
    </x:row>
    <x:row r="11" ht="30" customHeight="1">
      <x:c r="A11" s="15" t="str">
        <x:v>智动力</x:v>
      </x:c>
      <x:c r="B11" s="15" t="str">
        <x:v>JUNO2-SD 龙骏系列</x:v>
      </x:c>
      <x:c r="C11" s="15" t="str">
        <x:v>是</x:v>
      </x:c>
      <x:c r="D11" s="15" t="str">
        <x:v>不通过</x:v>
      </x:c>
      <x:c r="E11" s="15" t="n">
        <x:v>1</x:v>
      </x:c>
      <x:c r="F11" s="15" t="n">
        <x:v>4</x:v>
      </x:c>
      <x:c r="G11" s="15" t="n">
        <x:v>2</x:v>
      </x:c>
      <x:c r="H11" s="15" t="n">
        <x:v>2</x:v>
      </x:c>
      <x:c r="I11" s="15" t="n">
        <x:v>3</x:v>
      </x:c>
      <x:c r="J11" s="15" t="n">
        <x:v>2</x:v>
      </x:c>
      <x:c r="K11" s="16" t="n">
        <x:f>IF(C11&lt;&gt;"是","",SUMPRODUCT(E11:J11,$B$4:$G$4))</x:f>
        <x:v>2.15</x:v>
      </x:c>
      <x:c r="L11" s="15" t="str">
        <x:f>IF(C11&lt;&gt;"是","不参与移动本体排名",IF(D11="不通过","不进入布线POC",IF(K11&gt;=4.2,"优先POC",IF(K11&gt;=3.5,"条件POC","补齐资料后再评估"))))</x:f>
        <x:v>不进入布线POC</x:v>
      </x:c>
      <x:c r="M11" s="15" t="str">
        <x:v>差速底盘为硬伤；重复定位和力控指标未公开</x:v>
      </x:c>
    </x:row>
    <x:row r="12" ht="30" customHeight="1">
      <x:c r="A12" s="15" t="str">
        <x:v>智动力</x:v>
      </x:c>
      <x:c r="B12" s="15" t="str">
        <x:v>JUNO1-P 智骏系列</x:v>
      </x:c>
      <x:c r="C12" s="15" t="str">
        <x:v>是</x:v>
      </x:c>
      <x:c r="D12" s="15" t="str">
        <x:v>不通过</x:v>
      </x:c>
      <x:c r="E12" s="15" t="n">
        <x:v>1</x:v>
      </x:c>
      <x:c r="F12" s="15" t="n">
        <x:v>3</x:v>
      </x:c>
      <x:c r="G12" s="15" t="n">
        <x:v>2</x:v>
      </x:c>
      <x:c r="H12" s="15" t="n">
        <x:v>2</x:v>
      </x:c>
      <x:c r="I12" s="15" t="n">
        <x:v>3</x:v>
      </x:c>
      <x:c r="J12" s="15" t="n">
        <x:v>2</x:v>
      </x:c>
      <x:c r="K12" s="16" t="n">
        <x:f>IF(C12&lt;&gt;"是","",SUMPRODUCT(E12:J12,$B$4:$G$4))</x:f>
        <x:v>2</x:v>
      </x:c>
      <x:c r="L12" s="15" t="str">
        <x:f>IF(C12&lt;&gt;"是","不参与移动本体排名",IF(D12="不通过","不进入布线POC",IF(K12&gt;=4.2,"优先POC",IF(K12&gt;=3.5,"条件POC","补齐资料后再评估"))))</x:f>
        <x:v>不进入布线POC</x:v>
      </x:c>
      <x:c r="M12" s="15" t="str">
        <x:v>差速底盘为硬伤；负载和升降能力低于JUNO2</x:v>
      </x:c>
    </x:row>
    <x:row r="13" ht="30" customHeight="1">
      <x:c r="A13" s="15" t="str">
        <x:v>智动力</x:v>
      </x:c>
      <x:c r="B13" s="15" t="str">
        <x:v>L1 灵骏系列</x:v>
      </x:c>
      <x:c r="C13" s="15" t="str">
        <x:v>是</x:v>
      </x:c>
      <x:c r="D13" s="15" t="str">
        <x:v>不通过</x:v>
      </x:c>
      <x:c r="E13" s="15" t="n">
        <x:v>1</x:v>
      </x:c>
      <x:c r="F13" s="15" t="n">
        <x:v>2</x:v>
      </x:c>
      <x:c r="G13" s="15" t="n">
        <x:v>2</x:v>
      </x:c>
      <x:c r="H13" s="15" t="n">
        <x:v>2</x:v>
      </x:c>
      <x:c r="I13" s="15" t="n">
        <x:v>3</x:v>
      </x:c>
      <x:c r="J13" s="15" t="n">
        <x:v>2</x:v>
      </x:c>
      <x:c r="K13" s="16" t="n">
        <x:f>IF(C13&lt;&gt;"是","",SUMPRODUCT(E13:J13,$B$4:$G$4))</x:f>
        <x:v>1.85</x:v>
      </x:c>
      <x:c r="L13" s="15" t="str">
        <x:f>IF(C13&lt;&gt;"是","不参与移动本体排名",IF(D13="不通过","不进入布线POC",IF(K13&gt;=4.2,"优先POC",IF(K13&gt;=3.5,"条件POC","补齐资料后再评估"))))</x:f>
        <x:v>不进入布线POC</x:v>
      </x:c>
      <x:c r="M13" s="15" t="str">
        <x:v>差速底盘且负载、臂展和躯干能力较弱</x:v>
      </x:c>
    </x:row>
    <x:row r="14" ht="30" customHeight="1">
      <x:c r="A14" s="15" t="str">
        <x:v>宇树</x:v>
      </x:c>
      <x:c r="B14" s="15" t="str">
        <x:v>Unitree G1-D 通用版</x:v>
      </x:c>
      <x:c r="C14" s="15" t="str">
        <x:v>是</x:v>
      </x:c>
      <x:c r="D14" s="15" t="str">
        <x:v>不通过</x:v>
      </x:c>
      <x:c r="E14" s="15" t="n">
        <x:v>0</x:v>
      </x:c>
      <x:c r="F14" s="15" t="n">
        <x:v>4</x:v>
      </x:c>
      <x:c r="G14" s="15" t="n">
        <x:v>2</x:v>
      </x:c>
      <x:c r="H14" s="15" t="n">
        <x:v>3</x:v>
      </x:c>
      <x:c r="I14" s="15" t="n">
        <x:v>3</x:v>
      </x:c>
      <x:c r="J14" s="15" t="n">
        <x:v>2</x:v>
      </x:c>
      <x:c r="K14" s="16" t="n">
        <x:f>IF(C14&lt;&gt;"是","",SUMPRODUCT(E14:J14,$B$4:$G$4))</x:f>
        <x:v>2.05</x:v>
      </x:c>
      <x:c r="L14" s="15" t="str">
        <x:f>IF(C14&lt;&gt;"是","不参与移动本体排名",IF(D14="不通过","不进入布线POC",IF(K14&gt;=4.2,"优先POC",IF(K14&gt;=3.5,"条件POC","补齐资料后再评估"))))</x:f>
        <x:v>不进入布线POC</x:v>
      </x:c>
      <x:c r="M14" s="15" t="str">
        <x:v>官方参数未提供主动移动底盘</x:v>
      </x:c>
    </x:row>
    <x:row r="15" ht="30" customHeight="1">
      <x:c r="A15" s="15" t="str">
        <x:v>智动力</x:v>
      </x:c>
      <x:c r="B15" s="15" t="str">
        <x:v>Z1</x:v>
      </x:c>
      <x:c r="C15" s="15" t="str">
        <x:v>否</x:v>
      </x:c>
      <x:c r="D15" s="15" t="str">
        <x:v>不通过</x:v>
      </x:c>
      <x:c r="E15" s="15" t="n">
        <x:v>1</x:v>
      </x:c>
      <x:c r="F15" s="15" t="n">
        <x:v>3</x:v>
      </x:c>
      <x:c r="G15" s="15" t="n">
        <x:v>1</x:v>
      </x:c>
      <x:c r="H15" s="15" t="n">
        <x:v>2</x:v>
      </x:c>
      <x:c r="I15" s="15" t="n">
        <x:v>2</x:v>
      </x:c>
      <x:c r="J15" s="15" t="n">
        <x:v>2</x:v>
      </x:c>
      <x:c r="K15" s="16" t="str">
        <x:f>IF(C15&lt;&gt;"是","",SUMPRODUCT(E15:J15,$B$4:$G$4))</x:f>
      </x:c>
      <x:c r="L15" s="15" t="str">
        <x:f>IF(C15&lt;&gt;"是","不参与移动本体排名",IF(D15="不通过","不进入布线POC",IF(K15&gt;=4.2,"优先POC",IF(K15&gt;=3.5,"条件POC","补齐资料后再评估"))))</x:f>
        <x:v>不参与移动本体排名</x:v>
      </x:c>
      <x:c r="M15" s="15" t="str">
        <x:v>仅有SDK手册且差速底盘；不纳入排名</x:v>
      </x:c>
    </x:row>
    <x:row r="16" ht="30" customHeight="1">
      <x:c r="A16" s="15" t="str">
        <x:v>天机智能</x:v>
      </x:c>
      <x:c r="B16" s="15" t="str">
        <x:v>Marvin M6 CCS</x:v>
      </x:c>
      <x:c r="C16" s="15" t="str">
        <x:v>否</x:v>
      </x:c>
      <x:c r="D16" s="15" t="str">
        <x:v>待集成</x:v>
      </x:c>
      <x:c r="E16" s="15" t="n">
        <x:v>0</x:v>
      </x:c>
      <x:c r="F16" s="15" t="n">
        <x:v>4</x:v>
      </x:c>
      <x:c r="G16" s="15" t="n">
        <x:v>5</x:v>
      </x:c>
      <x:c r="H16" s="15" t="n">
        <x:v>5</x:v>
      </x:c>
      <x:c r="I16" s="15" t="n">
        <x:v>4</x:v>
      </x:c>
      <x:c r="J16" s="15" t="n">
        <x:v>4</x:v>
      </x:c>
      <x:c r="K16" s="16" t="str">
        <x:f>IF(C16&lt;&gt;"是","",SUMPRODUCT(E16:J16,$B$4:$G$4))</x:f>
      </x:c>
      <x:c r="L16" s="15" t="str">
        <x:f>IF(C16&lt;&gt;"是","不参与移动本体排名",IF(D16="不通过","不进入布线POC",IF(K16&gt;=4.2,"优先POC",IF(K16&gt;=3.5,"条件POC","补齐资料后再评估"))))</x:f>
        <x:v>不参与移动本体排名</x:v>
      </x:c>
      <x:c r="M16" s="15" t="str">
        <x:v>双臂模块不含标准底盘；集成全向底盘后再评估</x:v>
      </x:c>
    </x:row>
  </x:sheetData>
  <x:mergeCells>
    <x:mergeCell ref="A1:M1"/>
  </x:mergeCells>
  <x:conditionalFormatting sqref="K7:K16">
    <x:cfRule type="colorScale" priority="1">
      <x:colorScale>
        <x:cfvo type="min"/>
        <x:cfvo type="percentile" val="50"/>
        <x:cfvo type="max"/>
        <x:color rgb="FFFCE4D6"/>
        <x:color rgb="FFFFF2CC"/>
        <x:color rgb="FFE2F0D9"/>
      </x:colorScale>
    </x:cfRule>
  </x:conditionalFormatting>
  <x:conditionalFormatting sqref="D7:D16">
    <x:cfRule type="cellIs" dxfId="2" priority="2">
      <x:formula>"不通过"</x:formula>
    </x:cfRule>
    <x:cfRule type="cellIs" dxfId="3" priority="3">
      <x:formula>"通过"</x:formula>
    </x:cfRule>
  </x:conditionalFormatting>
  <x:dataValidations count="1">
    <x:dataValidation operator="between" showErrorMessage="1" errorTitle="评分超范围" error="请输入 0 到 5 的整数。" sqref="E7:J16">
      <x:formula1>0</x:formula1>
      <x:formula2>5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89f68ab153c410c"/>
  </x:tableParts>
</x:worksheet>
</file>

<file path=xl/worksheets/sheet3.xml><?xml version="1.0" encoding="utf-8"?>
<x:worksheet xmlns:x="http://schemas.openxmlformats.org/spreadsheetml/2006/main">
  <x:sheetViews>
    <x:sheetView workbookViewId="0">
      <x:pane xSplit="3" ySplit="3" topLeftCell="D4" activePane="bottomRight" state="frozen"/>
    </x:sheetView>
  </x:sheetViews>
  <x:sheetFormatPr defaultRowHeight="15"/>
  <x:cols>
    <x:col min="1" max="1" width="13" hidden="0" customWidth="1"/>
    <x:col min="2" max="2" width="23" hidden="0" customWidth="1"/>
    <x:col min="3" max="3" width="2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24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34" hidden="0" customWidth="1"/>
    <x:col min="30" max="30" width="13" hidden="0" customWidth="1"/>
    <x:col min="31" max="31" width="24" hidden="0" customWidth="1"/>
    <x:col min="32" max="32" width="13" hidden="0" customWidth="1"/>
    <x:col min="33" max="33" width="13" hidden="0" customWidth="1"/>
    <x:col min="34" max="34" width="38" hidden="0" customWidth="1"/>
    <x:col min="35" max="35" width="38" hidden="0" customWidth="1"/>
    <x:col min="36" max="36" width="38" hidden="0" customWidth="1"/>
    <x:col min="37" max="37" width="38" hidden="0" customWidth="1"/>
  </x:cols>
  <x:sheetData>
    <x:row r="1">
      <x:c r="A1" s="5" t="str">
        <x:v>机器人本体参数主表｜空白表示待供应商确认，不代表 0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</x:row>
    <x:row r="3">
      <x:c r="A3" s="13" t="str">
        <x:v>model_id</x:v>
      </x:c>
      <x:c r="B3" s="13" t="str">
        <x:v>vendor</x:v>
      </x:c>
      <x:c r="C3" s="13" t="str">
        <x:v>model</x:v>
      </x:c>
      <x:c r="D3" s="13" t="str">
        <x:v>category</x:v>
      </x:c>
      <x:c r="E3" s="13" t="str">
        <x:v>product_stage</x:v>
      </x:c>
      <x:c r="F3" s="13" t="str">
        <x:v>total_dof_excl_ee</x:v>
      </x:c>
      <x:c r="G3" s="13" t="str">
        <x:v>arm_dof_each</x:v>
      </x:c>
      <x:c r="H3" s="13" t="str">
        <x:v>torso_dof</x:v>
      </x:c>
      <x:c r="I3" s="13" t="str">
        <x:v>head_dof</x:v>
      </x:c>
      <x:c r="J3" s="13" t="str">
        <x:v>base_planar_dof</x:v>
      </x:c>
      <x:c r="K3" s="13" t="str">
        <x:v>base_type</x:v>
      </x:c>
      <x:c r="L3" s="13" t="str">
        <x:v>crab_supported</x:v>
      </x:c>
      <x:c r="M3" s="13" t="str">
        <x:v>base_speed_mps</x:v>
      </x:c>
      <x:c r="N3" s="13" t="str">
        <x:v>height_min_mm</x:v>
      </x:c>
      <x:c r="O3" s="13" t="str">
        <x:v>height_max_mm</x:v>
      </x:c>
      <x:c r="P3" s="13" t="str">
        <x:v>width_mm</x:v>
      </x:c>
      <x:c r="Q3" s="13" t="str">
        <x:v>length_mm</x:v>
      </x:c>
      <x:c r="R3" s="13" t="str">
        <x:v>weight_kg</x:v>
      </x:c>
      <x:c r="S3" s="13" t="str">
        <x:v>arm_reach_mm</x:v>
      </x:c>
      <x:c r="T3" s="13" t="str">
        <x:v>bimanual_span_mm</x:v>
      </x:c>
      <x:c r="U3" s="13" t="str">
        <x:v>payload_per_arm_rated_kg</x:v>
      </x:c>
      <x:c r="V3" s="13" t="str">
        <x:v>payload_per_arm_peak_kg</x:v>
      </x:c>
      <x:c r="W3" s="13" t="str">
        <x:v>bimanual_rated_kg</x:v>
      </x:c>
      <x:c r="X3" s="13" t="str">
        <x:v>bimanual_peak_kg</x:v>
      </x:c>
      <x:c r="Y3" s="13" t="str">
        <x:v>vertical_workspace_m</x:v>
      </x:c>
      <x:c r="Z3" s="13" t="str">
        <x:v>repeatability_mm</x:v>
      </x:c>
      <x:c r="AA3" s="13" t="str">
        <x:v>absolute_accuracy_mm</x:v>
      </x:c>
      <x:c r="AB3" s="13" t="str">
        <x:v>force_control</x:v>
      </x:c>
      <x:c r="AC3" s="13" t="str">
        <x:v>force_resolution_nm</x:v>
      </x:c>
      <x:c r="AD3" s="13" t="str">
        <x:v>force_sample_hz</x:v>
      </x:c>
      <x:c r="AE3" s="13" t="str">
        <x:v>compute</x:v>
      </x:c>
      <x:c r="AF3" s="13" t="str">
        <x:v>runtime_h</x:v>
      </x:c>
      <x:c r="AG3" s="13" t="str">
        <x:v>ip_rating</x:v>
      </x:c>
      <x:c r="AH3" s="13" t="str">
        <x:v>end_effector</x:v>
      </x:c>
      <x:c r="AI3" s="13" t="str">
        <x:v>interfaces</x:v>
      </x:c>
      <x:c r="AJ3" s="13" t="str">
        <x:v>evidence_level</x:v>
      </x:c>
      <x:c r="AK3" s="13" t="str">
        <x:v>notes</x:v>
      </x:c>
    </x:row>
    <x:row r="4" ht="34" customHeight="1">
      <x:c r="A4" s="15" t="str">
        <x:v>agibot_g2</x:v>
      </x:c>
      <x:c r="B4" s="15" t="str">
        <x:v>智元</x:v>
      </x:c>
      <x:c r="C4" s="15" t="str">
        <x:v>AgiBot 精灵G2</x:v>
      </x:c>
      <x:c r="D4" s="15" t="str">
        <x:v>移动双臂本体</x:v>
      </x:c>
      <x:c r="E4" s="15" t="str">
        <x:v>量产/部署</x:v>
      </x:c>
      <x:c r="F4" s="15" t="n">
        <x:v>25</x:v>
      </x:c>
      <x:c r="G4" s="15" t="n">
        <x:v>7</x:v>
      </x:c>
      <x:c r="H4" s="15" t="n">
        <x:v>5</x:v>
      </x:c>
      <x:c r="I4" s="15" t="n">
        <x:v>3</x:v>
      </x:c>
      <x:c r="J4" s="15" t="n">
        <x:v>3</x:v>
      </x:c>
      <x:c r="K4" s="15" t="str">
        <x:v>四舵轮全向底盘</x:v>
      </x:c>
      <x:c r="L4" s="15" t="str">
        <x:v>是</x:v>
      </x:c>
      <x:c r="M4" s="15" t="n">
        <x:v>1.5</x:v>
      </x:c>
      <x:c r="N4" s="15" t="n">
        <x:v>1225</x:v>
      </x:c>
      <x:c r="O4" s="15" t="n">
        <x:v>1795</x:v>
      </x:c>
      <x:c r="P4" s="15" t="n">
        <x:v>640</x:v>
      </x:c>
      <x:c r="Q4" s="15" t="n">
        <x:v>760</x:v>
      </x:c>
      <x:c r="R4" s="15" t="n">
        <x:v>185</x:v>
      </x:c>
      <x:c r="S4" s="15" t="n">
        <x:v>696</x:v>
      </x:c>
      <x:c r="T4" s="15" t="n">
        <x:v>2300</x:v>
      </x:c>
      <x:c r="U4" s="15" t="n">
        <x:v>5</x:v>
      </x:c>
      <x:c r="V4" s="15"/>
      <x:c r="W4" s="15" t="n">
        <x:v>10</x:v>
      </x:c>
      <x:c r="X4" s="15" t="n">
        <x:v>15</x:v>
      </x:c>
      <x:c r="Y4" s="15" t="str">
        <x:v>0-2.3</x:v>
      </x:c>
      <x:c r="Z4" s="15" t="n">
        <x:v>0.1</x:v>
      </x:c>
      <x:c r="AA4" s="15" t="n">
        <x:v>1</x:v>
      </x:c>
      <x:c r="AB4" s="15" t="str">
        <x:v>全关节力矩监测和高精度力控</x:v>
      </x:c>
      <x:c r="AC4" s="15" t="n">
        <x:v>0.02</x:v>
      </x:c>
      <x:c r="AD4" s="15" t="n">
        <x:v>5000</x:v>
      </x:c>
      <x:c r="AE4" s="15" t="str">
        <x:v>标准500 TOPS INT8；高算力2070 TFLOPS FP4</x:v>
      </x:c>
      <x:c r="AF4" s="15" t="str">
        <x:v>4</x:v>
      </x:c>
      <x:c r="AG4" s="15" t="str"/>
      <x:c r="AH4" s="15" t="str">
        <x:v>夹爪或灵巧手可选</x:v>
      </x:c>
      <x:c r="AI4" s="15" t="str">
        <x:v>末端24V；RS485×2；CAN-FD；1G/10G网口；USB</x:v>
      </x:c>
      <x:c r="AJ4" s="15" t="str">
        <x:v>官方用户手册</x:v>
      </x:c>
      <x:c r="AK4" s="15" t="str">
        <x:v>导航精度为厘米级，精密操作仍需视觉和力控闭环</x:v>
      </x:c>
    </x:row>
    <x:row r="5" ht="34" customHeight="1">
      <x:c r="A5" s="15" t="str">
        <x:v>astribot_s1</x:v>
      </x:c>
      <x:c r="B5" s="15" t="str">
        <x:v>星尘</x:v>
      </x:c>
      <x:c r="C5" s="15" t="str">
        <x:v>Astribot S1</x:v>
      </x:c>
      <x:c r="D5" s="15" t="str">
        <x:v>移动双臂本体</x:v>
      </x:c>
      <x:c r="E5" s="15" t="str">
        <x:v>科研/行业共创</x:v>
      </x:c>
      <x:c r="F5" s="15" t="n">
        <x:v>23</x:v>
      </x:c>
      <x:c r="G5" s="15" t="n">
        <x:v>7</x:v>
      </x:c>
      <x:c r="H5" s="15" t="n">
        <x:v>4</x:v>
      </x:c>
      <x:c r="I5" s="15" t="n">
        <x:v>2</x:v>
      </x:c>
      <x:c r="J5" s="15" t="n">
        <x:v>3</x:v>
      </x:c>
      <x:c r="K5" s="15" t="str">
        <x:v>三自由度全向移动底盘</x:v>
      </x:c>
      <x:c r="L5" s="15" t="str">
        <x:v>是</x:v>
      </x:c>
      <x:c r="M5" s="15"/>
      <x:c r="N5" s="15" t="n">
        <x:v>1700</x:v>
      </x:c>
      <x:c r="O5" s="15" t="n">
        <x:v>1700</x:v>
      </x:c>
      <x:c r="P5" s="15"/>
      <x:c r="Q5" s="15"/>
      <x:c r="R5" s="15" t="n">
        <x:v>80</x:v>
      </x:c>
      <x:c r="S5" s="15"/>
      <x:c r="T5" s="15" t="n">
        <x:v>1940</x:v>
      </x:c>
      <x:c r="U5" s="15" t="n">
        <x:v>5</x:v>
      </x:c>
      <x:c r="V5" s="15"/>
      <x:c r="W5" s="15"/>
      <x:c r="X5" s="15"/>
      <x:c r="Y5" s="15" t="str">
        <x:v>0-2.0</x:v>
      </x:c>
      <x:c r="Z5" s="15" t="n">
        <x:v>0.1</x:v>
      </x:c>
      <x:c r="AA5" s="15"/>
      <x:c r="AB5" s="15" t="str">
        <x:v>强调柔顺与全身操作，公开量化不足</x:v>
      </x:c>
      <x:c r="AC5" s="15"/>
      <x:c r="AD5" s="15"/>
      <x:c r="AE5" s="15" t="str">
        <x:v>未公开</x:v>
      </x:c>
      <x:c r="AF5" s="15" t="str">
        <x:v>4-6</x:v>
      </x:c>
      <x:c r="AG5" s="15" t="str"/>
      <x:c r="AH5" s="15" t="str">
        <x:v>平行二指夹爪</x:v>
      </x:c>
      <x:c r="AI5" s="15" t="str">
        <x:v>API；VR遥操作；仿真与训练工具链</x:v>
      </x:c>
      <x:c r="AJ5" s="15" t="str">
        <x:v>官网+研发论文</x:v>
      </x:c>
      <x:c r="AK5" s="15" t="str">
        <x:v>底盘轮型、速度、定位精度及工业认证未公开</x:v>
      </x:c>
    </x:row>
    <x:row r="6" ht="34" customHeight="1">
      <x:c r="A6" s="15" t="str">
        <x:v>zdl_d1</x:v>
      </x:c>
      <x:c r="B6" s="15" t="str">
        <x:v>智动力</x:v>
      </x:c>
      <x:c r="C6" s="15" t="str">
        <x:v>D1 擎骏系列</x:v>
      </x:c>
      <x:c r="D6" s="15" t="str">
        <x:v>移动双臂本体</x:v>
      </x:c>
      <x:c r="E6" s="15" t="str">
        <x:v>供应商产品资料</x:v>
      </x:c>
      <x:c r="F6" s="15" t="n">
        <x:v>23</x:v>
      </x:c>
      <x:c r="G6" s="15" t="n">
        <x:v>7</x:v>
      </x:c>
      <x:c r="H6" s="15"/>
      <x:c r="I6" s="15"/>
      <x:c r="J6" s="15"/>
      <x:c r="K6" s="15" t="str">
        <x:v>四轮四转底盘</x:v>
      </x:c>
      <x:c r="L6" s="15" t="str">
        <x:v>是</x:v>
      </x:c>
      <x:c r="M6" s="15" t="n">
        <x:v>1.5</x:v>
      </x:c>
      <x:c r="N6" s="15" t="n">
        <x:v>1850</x:v>
      </x:c>
      <x:c r="O6" s="15" t="n">
        <x:v>1850</x:v>
      </x:c>
      <x:c r="P6" s="15"/>
      <x:c r="Q6" s="15"/>
      <x:c r="R6" s="15" t="n">
        <x:v>300</x:v>
      </x:c>
      <x:c r="S6" s="15" t="n">
        <x:v>1000</x:v>
      </x:c>
      <x:c r="T6" s="15"/>
      <x:c r="U6" s="15" t="n">
        <x:v>15</x:v>
      </x:c>
      <x:c r="V6" s="15" t="n">
        <x:v>25</x:v>
      </x:c>
      <x:c r="W6" s="15"/>
      <x:c r="X6" s="15"/>
      <x:c r="Y6" s="15" t="str"/>
      <x:c r="Z6" s="15"/>
      <x:c r="AA6" s="15"/>
      <x:c r="AB6" s="15" t="str">
        <x:v>全力控双臂，缺少量化指标</x:v>
      </x:c>
      <x:c r="AC6" s="15"/>
      <x:c r="AD6" s="15"/>
      <x:c r="AE6" s="15" t="str">
        <x:v>AGX Orin 200 TOPS；可选275 TOPS</x:v>
      </x:c>
      <x:c r="AF6" s="15" t="str">
        <x:v>6</x:v>
      </x:c>
      <x:c r="AG6" s="15" t="str">
        <x:v>IP50</x:v>
      </x:c>
      <x:c r="AH6" s="15" t="str">
        <x:v>七自由度灵巧手或夹爪</x:v>
      </x:c>
      <x:c r="AI6" s="15" t="str">
        <x:v>C++；ROS；Python；EtherCAT×2；CAN×2；UART×6</x:v>
      </x:c>
      <x:c r="AJ6" s="15" t="str">
        <x:v>供应商产品册</x:v>
      </x:c>
      <x:c r="AK6" s="15" t="str">
        <x:v>1000mm升降；额定承载200kg；体积和重量较大</x:v>
      </x:c>
    </x:row>
    <x:row r="7" ht="34" customHeight="1">
      <x:c r="A7" s="15" t="str">
        <x:v>zdl_juno2</x:v>
      </x:c>
      <x:c r="B7" s="15" t="str">
        <x:v>智动力</x:v>
      </x:c>
      <x:c r="C7" s="15" t="str">
        <x:v>JUNO2-SD 龙骏系列</x:v>
      </x:c>
      <x:c r="D7" s="15" t="str">
        <x:v>移动双臂本体</x:v>
      </x:c>
      <x:c r="E7" s="15" t="str">
        <x:v>供应商产品资料</x:v>
      </x:c>
      <x:c r="F7" s="15" t="n">
        <x:v>22</x:v>
      </x:c>
      <x:c r="G7" s="15" t="n">
        <x:v>7</x:v>
      </x:c>
      <x:c r="H7" s="15" t="n">
        <x:v>4</x:v>
      </x:c>
      <x:c r="I7" s="15"/>
      <x:c r="J7" s="15"/>
      <x:c r="K7" s="15" t="str">
        <x:v>双差速线控底盘</x:v>
      </x:c>
      <x:c r="L7" s="15" t="str">
        <x:v>否</x:v>
      </x:c>
      <x:c r="M7" s="15" t="n">
        <x:v>1.5</x:v>
      </x:c>
      <x:c r="N7" s="15" t="n">
        <x:v>1780</x:v>
      </x:c>
      <x:c r="O7" s="15" t="n">
        <x:v>1780</x:v>
      </x:c>
      <x:c r="P7" s="15" t="n">
        <x:v>600</x:v>
      </x:c>
      <x:c r="Q7" s="15"/>
      <x:c r="R7" s="15" t="n">
        <x:v>160</x:v>
      </x:c>
      <x:c r="S7" s="15" t="n">
        <x:v>800</x:v>
      </x:c>
      <x:c r="T7" s="15"/>
      <x:c r="U7" s="15" t="n">
        <x:v>5</x:v>
      </x:c>
      <x:c r="V7" s="15" t="n">
        <x:v>8</x:v>
      </x:c>
      <x:c r="W7" s="15"/>
      <x:c r="X7" s="15"/>
      <x:c r="Y7" s="15" t="str"/>
      <x:c r="Z7" s="15"/>
      <x:c r="AA7" s="15"/>
      <x:c r="AB7" s="15" t="str">
        <x:v>未公开</x:v>
      </x:c>
      <x:c r="AC7" s="15"/>
      <x:c r="AD7" s="15"/>
      <x:c r="AE7" s="15" t="str">
        <x:v>Jetson Orin NX 157 TOPS；可选275 TOPS</x:v>
      </x:c>
      <x:c r="AF7" s="15" t="str">
        <x:v>6</x:v>
      </x:c>
      <x:c r="AG7" s="15" t="str">
        <x:v>IP40</x:v>
      </x:c>
      <x:c r="AH7" s="15" t="str">
        <x:v>七自由度灵巧手或夹爪</x:v>
      </x:c>
      <x:c r="AI7" s="15" t="str">
        <x:v>C++；ROS；Python；EtherCAT×2；CAN×2；UART×6</x:v>
      </x:c>
      <x:c r="AJ7" s="15" t="str">
        <x:v>供应商产品册</x:v>
      </x:c>
      <x:c r="AK7" s="15" t="str">
        <x:v>550mm升降；差速底盘不支持保持朝向横移</x:v>
      </x:c>
    </x:row>
    <x:row r="8" ht="34" customHeight="1">
      <x:c r="A8" s="15" t="str">
        <x:v>zdl_juno1</x:v>
      </x:c>
      <x:c r="B8" s="15" t="str">
        <x:v>智动力</x:v>
      </x:c>
      <x:c r="C8" s="15" t="str">
        <x:v>JUNO1-P 智骏系列</x:v>
      </x:c>
      <x:c r="D8" s="15" t="str">
        <x:v>移动双臂本体</x:v>
      </x:c>
      <x:c r="E8" s="15" t="str">
        <x:v>供应商产品资料</x:v>
      </x:c>
      <x:c r="F8" s="15" t="n">
        <x:v>21</x:v>
      </x:c>
      <x:c r="G8" s="15" t="n">
        <x:v>7</x:v>
      </x:c>
      <x:c r="H8" s="15" t="n">
        <x:v>3</x:v>
      </x:c>
      <x:c r="I8" s="15"/>
      <x:c r="J8" s="15"/>
      <x:c r="K8" s="15" t="str">
        <x:v>双差速线控底盘</x:v>
      </x:c>
      <x:c r="L8" s="15" t="str">
        <x:v>否</x:v>
      </x:c>
      <x:c r="M8" s="15" t="n">
        <x:v>1.5</x:v>
      </x:c>
      <x:c r="N8" s="15" t="n">
        <x:v>1750</x:v>
      </x:c>
      <x:c r="O8" s="15" t="n">
        <x:v>1750</x:v>
      </x:c>
      <x:c r="P8" s="15" t="n">
        <x:v>600</x:v>
      </x:c>
      <x:c r="Q8" s="15"/>
      <x:c r="R8" s="15" t="n">
        <x:v>120</x:v>
      </x:c>
      <x:c r="S8" s="15" t="n">
        <x:v>800</x:v>
      </x:c>
      <x:c r="T8" s="15"/>
      <x:c r="U8" s="15" t="n">
        <x:v>3</x:v>
      </x:c>
      <x:c r="V8" s="15"/>
      <x:c r="W8" s="15"/>
      <x:c r="X8" s="15"/>
      <x:c r="Y8" s="15" t="str"/>
      <x:c r="Z8" s="15"/>
      <x:c r="AA8" s="15"/>
      <x:c r="AB8" s="15" t="str">
        <x:v>未公开</x:v>
      </x:c>
      <x:c r="AC8" s="15"/>
      <x:c r="AD8" s="15"/>
      <x:c r="AE8" s="15" t="str">
        <x:v>Jetson Orin NX 157 TOPS</x:v>
      </x:c>
      <x:c r="AF8" s="15" t="str">
        <x:v>4</x:v>
      </x:c>
      <x:c r="AG8" s="15" t="str">
        <x:v>IP40</x:v>
      </x:c>
      <x:c r="AH8" s="15" t="str">
        <x:v>七自由度灵巧手或夹爪</x:v>
      </x:c>
      <x:c r="AI8" s="15" t="str">
        <x:v>C++；ROS；Python</x:v>
      </x:c>
      <x:c r="AJ8" s="15" t="str">
        <x:v>供应商产品册</x:v>
      </x:c>
      <x:c r="AK8" s="15" t="str">
        <x:v>300mm升降；负载包含末端</x:v>
      </x:c>
    </x:row>
    <x:row r="9" ht="34" customHeight="1">
      <x:c r="A9" s="15" t="str">
        <x:v>zdl_l1</x:v>
      </x:c>
      <x:c r="B9" s="15" t="str">
        <x:v>智动力</x:v>
      </x:c>
      <x:c r="C9" s="15" t="str">
        <x:v>L1 灵骏系列</x:v>
      </x:c>
      <x:c r="D9" s="15" t="str">
        <x:v>轻量移动双臂本体</x:v>
      </x:c>
      <x:c r="E9" s="15" t="str">
        <x:v>供应商产品资料</x:v>
      </x:c>
      <x:c r="F9" s="15" t="n">
        <x:v>15</x:v>
      </x:c>
      <x:c r="G9" s="15" t="n">
        <x:v>6</x:v>
      </x:c>
      <x:c r="H9" s="15" t="n">
        <x:v>1</x:v>
      </x:c>
      <x:c r="I9" s="15"/>
      <x:c r="J9" s="15"/>
      <x:c r="K9" s="15" t="str">
        <x:v>差速轮式底盘</x:v>
      </x:c>
      <x:c r="L9" s="15" t="str">
        <x:v>否</x:v>
      </x:c>
      <x:c r="M9" s="15" t="n">
        <x:v>1.5</x:v>
      </x:c>
      <x:c r="N9" s="15" t="n">
        <x:v>1280</x:v>
      </x:c>
      <x:c r="O9" s="15" t="n">
        <x:v>1280</x:v>
      </x:c>
      <x:c r="P9" s="15" t="n">
        <x:v>580</x:v>
      </x:c>
      <x:c r="Q9" s="15"/>
      <x:c r="R9" s="15" t="n">
        <x:v>40</x:v>
      </x:c>
      <x:c r="S9" s="15" t="n">
        <x:v>600</x:v>
      </x:c>
      <x:c r="T9" s="15"/>
      <x:c r="U9" s="15" t="n">
        <x:v>1.5</x:v>
      </x:c>
      <x:c r="V9" s="15"/>
      <x:c r="W9" s="15"/>
      <x:c r="X9" s="15"/>
      <x:c r="Y9" s="15" t="str"/>
      <x:c r="Z9" s="15"/>
      <x:c r="AA9" s="15"/>
      <x:c r="AB9" s="15" t="str">
        <x:v>未公开</x:v>
      </x:c>
      <x:c r="AC9" s="15"/>
      <x:c r="AD9" s="15"/>
      <x:c r="AE9" s="15" t="str">
        <x:v>RK3588 6 TOPS</x:v>
      </x:c>
      <x:c r="AF9" s="15" t="str">
        <x:v>4-6</x:v>
      </x:c>
      <x:c r="AG9" s="15" t="str">
        <x:v>IP40</x:v>
      </x:c>
      <x:c r="AH9" s="15" t="str">
        <x:v>七自由度灵巧手或夹爪</x:v>
      </x:c>
      <x:c r="AI9" s="15" t="str">
        <x:v>C++；ROS；Python</x:v>
      </x:c>
      <x:c r="AJ9" s="15" t="str">
        <x:v>供应商产品册</x:v>
      </x:c>
      <x:c r="AK9" s="15" t="str">
        <x:v>无长行程升降；负载较低</x:v>
      </x:c>
    </x:row>
    <x:row r="10" ht="34" customHeight="1">
      <x:c r="A10" s="15" t="str">
        <x:v>zdl_z1</x:v>
      </x:c>
      <x:c r="B10" s="15" t="str">
        <x:v>智动力</x:v>
      </x:c>
      <x:c r="C10" s="15" t="str">
        <x:v>Z1</x:v>
      </x:c>
      <x:c r="D10" s="15" t="str">
        <x:v>移动双臂本体/SDK平台</x:v>
      </x:c>
      <x:c r="E10" s="15" t="str">
        <x:v>开发手册r26.6</x:v>
      </x:c>
      <x:c r="F10" s="15"/>
      <x:c r="G10" s="15" t="n">
        <x:v>7</x:v>
      </x:c>
      <x:c r="H10" s="15" t="n">
        <x:v>4</x:v>
      </x:c>
      <x:c r="I10" s="15" t="n">
        <x:v>2</x:v>
      </x:c>
      <x:c r="J10" s="15" t="n">
        <x:v>2</x:v>
      </x:c>
      <x:c r="K10" s="15" t="str">
        <x:v>双轮差速底盘</x:v>
      </x:c>
      <x:c r="L10" s="15" t="str">
        <x:v>否</x:v>
      </x:c>
      <x:c r="M10" s="15"/>
      <x:c r="N10" s="15"/>
      <x:c r="O10" s="15"/>
      <x:c r="P10" s="15"/>
      <x:c r="Q10" s="15"/>
      <x:c r="R10" s="15"/>
      <x:c r="S10" s="15"/>
      <x:c r="T10" s="15"/>
      <x:c r="U10" s="15"/>
      <x:c r="V10" s="15"/>
      <x:c r="W10" s="15"/>
      <x:c r="X10" s="15"/>
      <x:c r="Y10" s="15" t="str"/>
      <x:c r="Z10" s="15"/>
      <x:c r="AA10" s="15"/>
      <x:c r="AB10" s="15" t="str">
        <x:v>CSP/CST；笛卡尔阻抗和关节阻抗标记待实现</x:v>
      </x:c>
      <x:c r="AC10" s="15"/>
      <x:c r="AD10" s="15"/>
      <x:c r="AE10" s="15" t="str">
        <x:v>Cerebellum+Orin</x:v>
      </x:c>
      <x:c r="AF10" s="15" t="str"/>
      <x:c r="AG10" s="15" t="str"/>
      <x:c r="AH10" s="15" t="str">
        <x:v>夹爪或灵巧手</x:v>
      </x:c>
      <x:c r="AI10" s="15" t="str">
        <x:v>DDS；C++17；CycloneDDS 0.10.5</x:v>
      </x:c>
      <x:c r="AJ10" s="15" t="str">
        <x:v>供应商开发手册</x:v>
      </x:c>
      <x:c r="AK10" s="15" t="str">
        <x:v>仅有SDK资料；接口命名、矩阵顺序和力矩单位存在待澄清项</x:v>
      </x:c>
    </x:row>
    <x:row r="11" ht="34" customHeight="1">
      <x:c r="A11" s="15" t="str">
        <x:v>unitree_g1d_flagship</x:v>
      </x:c>
      <x:c r="B11" s="15" t="str">
        <x:v>宇树</x:v>
      </x:c>
      <x:c r="C11" s="15" t="str">
        <x:v>Unitree G1-D 旗舰版</x:v>
      </x:c>
      <x:c r="D11" s="15" t="str">
        <x:v>移动双臂本体</x:v>
      </x:c>
      <x:c r="E11" s="15" t="str">
        <x:v>官方产品</x:v>
      </x:c>
      <x:c r="F11" s="15" t="n">
        <x:v>19</x:v>
      </x:c>
      <x:c r="G11" s="15" t="n">
        <x:v>7</x:v>
      </x:c>
      <x:c r="H11" s="15" t="n">
        <x:v>2</x:v>
      </x:c>
      <x:c r="I11" s="15"/>
      <x:c r="J11" s="15" t="n">
        <x:v>2</x:v>
      </x:c>
      <x:c r="K11" s="15" t="str">
        <x:v>双轮差速底盘</x:v>
      </x:c>
      <x:c r="L11" s="15" t="str">
        <x:v>否</x:v>
      </x:c>
      <x:c r="M11" s="15" t="n">
        <x:v>1.5</x:v>
      </x:c>
      <x:c r="N11" s="15" t="n">
        <x:v>1260</x:v>
      </x:c>
      <x:c r="O11" s="15" t="n">
        <x:v>1680</x:v>
      </x:c>
      <x:c r="P11" s="15" t="n">
        <x:v>525</x:v>
      </x:c>
      <x:c r="Q11" s="15" t="n">
        <x:v>570</x:v>
      </x:c>
      <x:c r="R11" s="15" t="n">
        <x:v>90</x:v>
      </x:c>
      <x:c r="S11" s="15"/>
      <x:c r="T11" s="15"/>
      <x:c r="U11" s="15" t="n">
        <x:v>3</x:v>
      </x:c>
      <x:c r="V11" s="15"/>
      <x:c r="W11" s="15"/>
      <x:c r="X11" s="15"/>
      <x:c r="Y11" s="15" t="str"/>
      <x:c r="Z11" s="15"/>
      <x:c r="AA11" s="15"/>
      <x:c r="AB11" s="15" t="str">
        <x:v>未公开</x:v>
      </x:c>
      <x:c r="AC11" s="15"/>
      <x:c r="AD11" s="15"/>
      <x:c r="AE11" s="15" t="str">
        <x:v>8核CPU；可选Orin NX 100 TOPS</x:v>
      </x:c>
      <x:c r="AF11" s="15" t="str">
        <x:v>6</x:v>
      </x:c>
      <x:c r="AG11" s="15" t="str"/>
      <x:c r="AH11" s="15" t="str">
        <x:v>二指夹爪或三/五指灵巧手</x:v>
      </x:c>
      <x:c r="AI11" s="15" t="str">
        <x:v>支持二次开发</x:v>
      </x:c>
      <x:c r="AJ11" s="15" t="str">
        <x:v>官方网站</x:v>
      </x:c>
      <x:c r="AK11" s="15" t="str">
        <x:v>差速底盘支持原地旋转，不支持纯横移</x:v>
      </x:c>
    </x:row>
    <x:row r="12" ht="34" customHeight="1">
      <x:c r="A12" s="15" t="str">
        <x:v>unitree_g1d_standard</x:v>
      </x:c>
      <x:c r="B12" s="15" t="str">
        <x:v>宇树</x:v>
      </x:c>
      <x:c r="C12" s="15" t="str">
        <x:v>Unitree G1-D 通用版</x:v>
      </x:c>
      <x:c r="D12" s="15" t="str">
        <x:v>固定/可搬运双臂平台</x:v>
      </x:c>
      <x:c r="E12" s="15" t="str">
        <x:v>官方产品</x:v>
      </x:c>
      <x:c r="F12" s="15" t="n">
        <x:v>17</x:v>
      </x:c>
      <x:c r="G12" s="15" t="n">
        <x:v>7</x:v>
      </x:c>
      <x:c r="H12" s="15" t="n">
        <x:v>2</x:v>
      </x:c>
      <x:c r="I12" s="15"/>
      <x:c r="J12" s="15" t="n">
        <x:v>0</x:v>
      </x:c>
      <x:c r="K12" s="15" t="str">
        <x:v>无主动移动参数</x:v>
      </x:c>
      <x:c r="L12" s="15" t="str">
        <x:v>否</x:v>
      </x:c>
      <x:c r="M12" s="15"/>
      <x:c r="N12" s="15" t="n">
        <x:v>1260</x:v>
      </x:c>
      <x:c r="O12" s="15" t="n">
        <x:v>1680</x:v>
      </x:c>
      <x:c r="P12" s="15" t="n">
        <x:v>620</x:v>
      </x:c>
      <x:c r="Q12" s="15" t="n">
        <x:v>620</x:v>
      </x:c>
      <x:c r="R12" s="15" t="n">
        <x:v>90</x:v>
      </x:c>
      <x:c r="S12" s="15"/>
      <x:c r="T12" s="15"/>
      <x:c r="U12" s="15" t="n">
        <x:v>3</x:v>
      </x:c>
      <x:c r="V12" s="15"/>
      <x:c r="W12" s="15"/>
      <x:c r="X12" s="15"/>
      <x:c r="Y12" s="15" t="str"/>
      <x:c r="Z12" s="15"/>
      <x:c r="AA12" s="15"/>
      <x:c r="AB12" s="15" t="str">
        <x:v>未公开</x:v>
      </x:c>
      <x:c r="AC12" s="15"/>
      <x:c r="AD12" s="15"/>
      <x:c r="AE12" s="15" t="str">
        <x:v>8核CPU；可选Orin NX 100 TOPS</x:v>
      </x:c>
      <x:c r="AF12" s="15" t="str">
        <x:v>2</x:v>
      </x:c>
      <x:c r="AG12" s="15" t="str"/>
      <x:c r="AH12" s="15" t="str">
        <x:v>二指夹爪或三/五指灵巧手</x:v>
      </x:c>
      <x:c r="AI12" s="15" t="str">
        <x:v>支持二次开发</x:v>
      </x:c>
      <x:c r="AJ12" s="15" t="str">
        <x:v>官方网站</x:v>
      </x:c>
      <x:c r="AK12" s="15" t="str">
        <x:v>官方参数表未给出主动底盘速度与驱动形式</x:v>
      </x:c>
    </x:row>
    <x:row r="13" ht="34" customHeight="1">
      <x:c r="A13" s="15" t="str">
        <x:v>tianji_marvin_m6ccs</x:v>
      </x:c>
      <x:c r="B13" s="15" t="str">
        <x:v>天机智能</x:v>
      </x:c>
      <x:c r="C13" s="15" t="str">
        <x:v>Marvin M6 CCS</x:v>
      </x:c>
      <x:c r="D13" s="15" t="str">
        <x:v>双臂模块</x:v>
      </x:c>
      <x:c r="E13" s="15" t="str">
        <x:v>供应商产品资料</x:v>
      </x:c>
      <x:c r="F13" s="15" t="n">
        <x:v>14</x:v>
      </x:c>
      <x:c r="G13" s="15" t="n">
        <x:v>7</x:v>
      </x:c>
      <x:c r="H13" s="15"/>
      <x:c r="I13" s="15"/>
      <x:c r="J13" s="15"/>
      <x:c r="K13" s="15" t="str">
        <x:v>需集成第三方底盘</x:v>
      </x:c>
      <x:c r="L13" s="15" t="str">
        <x:v>待集成</x:v>
      </x:c>
      <x:c r="M13" s="15"/>
      <x:c r="N13" s="15"/>
      <x:c r="O13" s="15"/>
      <x:c r="P13" s="15"/>
      <x:c r="Q13" s="15"/>
      <x:c r="R13" s="15" t="n">
        <x:v>11</x:v>
      </x:c>
      <x:c r="S13" s="15" t="n">
        <x:v>696</x:v>
      </x:c>
      <x:c r="T13" s="15"/>
      <x:c r="U13" s="15" t="n">
        <x:v>6</x:v>
      </x:c>
      <x:c r="V13" s="15"/>
      <x:c r="W13" s="15"/>
      <x:c r="X13" s="15"/>
      <x:c r="Y13" s="15" t="str"/>
      <x:c r="Z13" s="15" t="n">
        <x:v>0.03</x:v>
      </x:c>
      <x:c r="AA13" s="15"/>
      <x:c r="AB13" s="15" t="str">
        <x:v>全关节扭矩传感和阻抗控制；作用力重复精度≤0.15N/0.05N·m</x:v>
      </x:c>
      <x:c r="AC13" s="15"/>
      <x:c r="AD13" s="15" t="n">
        <x:v>8000</x:v>
      </x:c>
      <x:c r="AE13" s="15" t="str"/>
      <x:c r="AF13" s="15" t="str">
        <x:v>外部供电</x:v>
      </x:c>
      <x:c r="AG13" s="15" t="str">
        <x:v>IP54</x:v>
      </x:c>
      <x:c r="AH13" s="15" t="str">
        <x:v>末端执行器由集成方配置</x:v>
      </x:c>
      <x:c r="AI13" s="15" t="str">
        <x:v>EtherCAT；CAN-FD；RS485；最高1kHz SDK</x:v>
      </x:c>
      <x:c r="AJ13" s="15" t="str">
        <x:v>供应商产品册</x:v>
      </x:c>
      <x:c r="AK13" s="15" t="str">
        <x:v>单臂参数；不含标准移动底盘，不参加移动本体排名</x:v>
      </x:c>
    </x:row>
  </x:sheetData>
  <x:mergeCells>
    <x:mergeCell ref="A1:AK1"/>
  </x:mergeCells>
  <x:pageMargins left="0.7" right="0.7" top="0.75" bottom="0.75" header="0.3" footer="0.3"/>
  <x:tableParts count="1">
    <x:tablePart xmlns:r="http://schemas.openxmlformats.org/officeDocument/2006/relationships" r:id="R88ad26e95f4e4255"/>
  </x:tableParts>
</x:worksheet>
</file>

<file path=xl/worksheets/sheet4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8" hidden="0" customWidth="1"/>
    <x:col min="2" max="2" width="12" hidden="0" customWidth="1"/>
    <x:col min="3" max="3" width="15" hidden="0" customWidth="1"/>
    <x:col min="4" max="4" width="52" hidden="0" customWidth="1"/>
    <x:col min="5" max="5" width="16" hidden="0" customWidth="1"/>
    <x:col min="6" max="6" width="40" hidden="0" customWidth="1"/>
    <x:col min="7" max="7" width="18" hidden="0" customWidth="1"/>
    <x:col min="8" max="8" width="12" hidden="0" customWidth="1"/>
    <x:col min="9" max="9" width="16" hidden="0" customWidth="1"/>
    <x:col min="10" max="10" width="24" hidden="0" customWidth="1"/>
  </x:cols>
  <x:sheetData>
    <x:row r="1">
      <x:c r="A1" s="5" t="str">
        <x:v>供应商问题与 POC 清单｜优先关闭硬门槛、安全和接口风险</x:v>
      </x:c>
      <x:c r="B1" s="5"/>
      <x:c r="C1" s="5"/>
      <x:c r="D1" s="5"/>
      <x:c r="E1" s="5"/>
      <x:c r="F1" s="5"/>
      <x:c r="G1" s="5"/>
      <x:c r="H1" s="5"/>
      <x:c r="I1" s="5"/>
      <x:c r="J1" s="5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</x:row>
    <x:row r="3">
      <x:c r="A3" s="13" t="str">
        <x:v>question_id</x:v>
      </x:c>
      <x:c r="B3" s="13" t="str">
        <x:v>vendor</x:v>
      </x:c>
      <x:c r="C3" s="13" t="str">
        <x:v>model</x:v>
      </x:c>
      <x:c r="D3" s="13" t="str">
        <x:v>priority</x:v>
      </x:c>
      <x:c r="E3" s="13" t="str">
        <x:v>category</x:v>
      </x:c>
      <x:c r="F3" s="13" t="str">
        <x:v>question</x:v>
      </x:c>
      <x:c r="G3" s="13" t="str">
        <x:v>current_evidence</x:v>
      </x:c>
      <x:c r="H3" s="13" t="str">
        <x:v>status</x:v>
      </x:c>
      <x:c r="I3" s="13" t="str">
        <x:v>owner</x:v>
      </x:c>
      <x:c r="J3" s="13" t="str">
        <x:v>due_date</x:v>
      </x:c>
    </x:row>
    <x:row r="4" ht="38" customHeight="1">
      <x:c r="A4" s="15" t="str">
        <x:v>Q001</x:v>
      </x:c>
      <x:c r="B4" s="15" t="str">
        <x:v>智元</x:v>
      </x:c>
      <x:c r="C4" s="15" t="str">
        <x:v>精灵G2</x:v>
      </x:c>
      <x:c r="D4" s="15" t="str">
        <x:v>P0</x:v>
      </x:c>
      <x:c r="E4" s="15" t="str">
        <x:v>底盘</x:v>
      </x:c>
      <x:c r="F4" s="15" t="str">
        <x:v>横移2米时机身航向保持误差和停车回摆是多少</x:v>
      </x:c>
      <x:c r="G4" s="15" t="str">
        <x:v>官方仅给导航精度</x:v>
      </x:c>
      <x:c r="H4" s="15" t="str">
        <x:v>待供应商回复</x:v>
      </x:c>
      <x:c r="I4" s="15" t="str"/>
      <x:c r="J4" s="15" t="str"/>
    </x:row>
    <x:row r="5" ht="38" customHeight="1">
      <x:c r="A5" s="15" t="str">
        <x:v>Q002</x:v>
      </x:c>
      <x:c r="B5" s="15" t="str">
        <x:v>智元</x:v>
      </x:c>
      <x:c r="C5" s="15" t="str">
        <x:v>精灵G2</x:v>
      </x:c>
      <x:c r="D5" s="15" t="str">
        <x:v>P0</x:v>
      </x:c>
      <x:c r="E5" s="15" t="str">
        <x:v>整链路精度</x:v>
      </x:c>
      <x:c r="F5" s="15" t="str">
        <x:v>蟹行停止后视觉重定位加双臂操作的末端误差是多少</x:v>
      </x:c>
      <x:c r="G5" s="15" t="str">
        <x:v>机械臂重复精度不能代表整机移动后精度</x:v>
      </x:c>
      <x:c r="H5" s="15" t="str">
        <x:v>待POC</x:v>
      </x:c>
      <x:c r="I5" s="15" t="str"/>
      <x:c r="J5" s="15" t="str"/>
    </x:row>
    <x:row r="6" ht="38" customHeight="1">
      <x:c r="A6" s="15" t="str">
        <x:v>Q003</x:v>
      </x:c>
      <x:c r="B6" s="15" t="str">
        <x:v>智元</x:v>
      </x:c>
      <x:c r="C6" s="15" t="str">
        <x:v>精灵G2</x:v>
      </x:c>
      <x:c r="D6" s="15" t="str">
        <x:v>P0</x:v>
      </x:c>
      <x:c r="E6" s="15" t="str">
        <x:v>末端接口</x:v>
      </x:c>
      <x:c r="F6" s="15" t="str">
        <x:v>24V末端供电的持续和峰值功率上限是多少</x:v>
      </x:c>
      <x:c r="G6" s="15" t="str">
        <x:v>手册只写24V供电</x:v>
      </x:c>
      <x:c r="H6" s="15" t="str">
        <x:v>待供应商回复</x:v>
      </x:c>
      <x:c r="I6" s="15" t="str"/>
      <x:c r="J6" s="15" t="str"/>
    </x:row>
    <x:row r="7" ht="38" customHeight="1">
      <x:c r="A7" s="15" t="str">
        <x:v>Q004</x:v>
      </x:c>
      <x:c r="B7" s="15" t="str">
        <x:v>智元</x:v>
      </x:c>
      <x:c r="C7" s="15" t="str">
        <x:v>精灵G2</x:v>
      </x:c>
      <x:c r="D7" s="15" t="str">
        <x:v>P1</x:v>
      </x:c>
      <x:c r="E7" s="15" t="str">
        <x:v>工业安全</x:v>
      </x:c>
      <x:c r="F7" s="15" t="str">
        <x:v>整机和双臂防护等级及安全认证是什么</x:v>
      </x:c>
      <x:c r="G7" s="15" t="str">
        <x:v>官方参数表未列IP等级</x:v>
      </x:c>
      <x:c r="H7" s="15" t="str">
        <x:v>待供应商回复</x:v>
      </x:c>
      <x:c r="I7" s="15" t="str"/>
      <x:c r="J7" s="15" t="str"/>
    </x:row>
    <x:row r="8" ht="38" customHeight="1">
      <x:c r="A8" s="15" t="str">
        <x:v>Q005</x:v>
      </x:c>
      <x:c r="B8" s="15" t="str">
        <x:v>智元</x:v>
      </x:c>
      <x:c r="C8" s="15" t="str">
        <x:v>精灵G2</x:v>
      </x:c>
      <x:c r="D8" s="15" t="str">
        <x:v>P1</x:v>
      </x:c>
      <x:c r="E8" s="15" t="str">
        <x:v>网络安全</x:v>
      </x:c>
      <x:c r="F8" s="15" t="str">
        <x:v>能否关闭NFS、临时12345及非必要服务端口</x:v>
      </x:c>
      <x:c r="G8" s="15" t="str">
        <x:v>用户手册列出多个开放端口并建议移除12345</x:v>
      </x:c>
      <x:c r="H8" s="15" t="str">
        <x:v>待IT联调</x:v>
      </x:c>
      <x:c r="I8" s="15" t="str"/>
      <x:c r="J8" s="15" t="str"/>
    </x:row>
    <x:row r="9" ht="38" customHeight="1">
      <x:c r="A9" s="15" t="str">
        <x:v>Q006</x:v>
      </x:c>
      <x:c r="B9" s="15" t="str">
        <x:v>星尘</x:v>
      </x:c>
      <x:c r="C9" s="15" t="str">
        <x:v>S1</x:v>
      </x:c>
      <x:c r="D9" s="15" t="str">
        <x:v>P0</x:v>
      </x:c>
      <x:c r="E9" s="15" t="str">
        <x:v>底盘</x:v>
      </x:c>
      <x:c r="F9" s="15" t="str">
        <x:v>全向底盘的轮型、最大横移速度、定位精度和航向误差是多少</x:v>
      </x:c>
      <x:c r="G9" s="15" t="str">
        <x:v>论文只确认3DOF全向底盘</x:v>
      </x:c>
      <x:c r="H9" s="15" t="str">
        <x:v>待供应商回复</x:v>
      </x:c>
      <x:c r="I9" s="15" t="str"/>
      <x:c r="J9" s="15" t="str"/>
    </x:row>
    <x:row r="10" ht="38" customHeight="1">
      <x:c r="A10" s="15" t="str">
        <x:v>Q007</x:v>
      </x:c>
      <x:c r="B10" s="15" t="str">
        <x:v>星尘</x:v>
      </x:c>
      <x:c r="C10" s="15" t="str">
        <x:v>S1</x:v>
      </x:c>
      <x:c r="D10" s="15" t="str">
        <x:v>P0</x:v>
      </x:c>
      <x:c r="E10" s="15" t="str">
        <x:v>力控</x:v>
      </x:c>
      <x:c r="F10" s="15" t="str">
        <x:v>关节或末端力传感器的分辨率、采样率和阻抗控制接口是什么</x:v>
      </x:c>
      <x:c r="G10" s="15" t="str">
        <x:v>官网未公开量化参数</x:v>
      </x:c>
      <x:c r="H10" s="15" t="str">
        <x:v>待供应商回复</x:v>
      </x:c>
      <x:c r="I10" s="15" t="str"/>
      <x:c r="J10" s="15" t="str"/>
    </x:row>
    <x:row r="11" ht="38" customHeight="1">
      <x:c r="A11" s="15" t="str">
        <x:v>Q008</x:v>
      </x:c>
      <x:c r="B11" s="15" t="str">
        <x:v>星尘</x:v>
      </x:c>
      <x:c r="C11" s="15" t="str">
        <x:v>S1</x:v>
      </x:c>
      <x:c r="D11" s="15" t="str">
        <x:v>P1</x:v>
      </x:c>
      <x:c r="E11" s="15" t="str">
        <x:v>接口</x:v>
      </x:c>
      <x:c r="F11" s="15" t="str">
        <x:v>SDK协议、控制频率、ROS版本和末端供电通信接口是什么</x:v>
      </x:c>
      <x:c r="G11" s="15" t="str">
        <x:v>官网只说明提供API和工具链</x:v>
      </x:c>
      <x:c r="H11" s="15" t="str">
        <x:v>待供应商回复</x:v>
      </x:c>
      <x:c r="I11" s="15" t="str"/>
      <x:c r="J11" s="15" t="str"/>
    </x:row>
    <x:row r="12" ht="38" customHeight="1">
      <x:c r="A12" s="15" t="str">
        <x:v>Q009</x:v>
      </x:c>
      <x:c r="B12" s="15" t="str">
        <x:v>星尘</x:v>
      </x:c>
      <x:c r="C12" s="15" t="str">
        <x:v>S1</x:v>
      </x:c>
      <x:c r="D12" s="15" t="str">
        <x:v>P1</x:v>
      </x:c>
      <x:c r="E12" s="15" t="str">
        <x:v>工业安全</x:v>
      </x:c>
      <x:c r="F12" s="15" t="str">
        <x:v>IP等级、安全认证、MTBF和连续运行数据是什么</x:v>
      </x:c>
      <x:c r="G12" s="15" t="str">
        <x:v>公开资料未披露</x:v>
      </x:c>
      <x:c r="H12" s="15" t="str">
        <x:v>待供应商回复</x:v>
      </x:c>
      <x:c r="I12" s="15" t="str"/>
      <x:c r="J12" s="15" t="str"/>
    </x:row>
    <x:row r="13" ht="38" customHeight="1">
      <x:c r="A13" s="15" t="str">
        <x:v>Q010</x:v>
      </x:c>
      <x:c r="B13" s="15" t="str">
        <x:v>智动力</x:v>
      </x:c>
      <x:c r="C13" s="15" t="str">
        <x:v>D1</x:v>
      </x:c>
      <x:c r="D13" s="15" t="str">
        <x:v>P0</x:v>
      </x:c>
      <x:c r="E13" s="15" t="str">
        <x:v>精度</x:v>
      </x:c>
      <x:c r="F13" s="15" t="str">
        <x:v>四轮四转蟹行后的底盘定位和末端整链路精度是多少</x:v>
      </x:c>
      <x:c r="G13" s="15" t="str">
        <x:v>产品册未公开</x:v>
      </x:c>
      <x:c r="H13" s="15" t="str">
        <x:v>待供应商回复</x:v>
      </x:c>
      <x:c r="I13" s="15" t="str"/>
      <x:c r="J13" s="15" t="str"/>
    </x:row>
    <x:row r="14" ht="38" customHeight="1">
      <x:c r="A14" s="15" t="str">
        <x:v>Q011</x:v>
      </x:c>
      <x:c r="B14" s="15" t="str">
        <x:v>智动力</x:v>
      </x:c>
      <x:c r="C14" s="15" t="str">
        <x:v>D1/P系列</x:v>
      </x:c>
      <x:c r="D14" s="15" t="str">
        <x:v>P0</x:v>
      </x:c>
      <x:c r="E14" s="15" t="str">
        <x:v>力控</x:v>
      </x:c>
      <x:c r="F14" s="15" t="str">
        <x:v>笛卡尔阻抗和力位置混合控制是否已在量产SDK可用</x:v>
      </x:c>
      <x:c r="G14" s="15" t="str">
        <x:v>产品册仅宣传全力控，Z1手册标注部分接口待实现</x:v>
      </x:c>
      <x:c r="H14" s="15" t="str">
        <x:v>待供应商回复</x:v>
      </x:c>
      <x:c r="I14" s="15" t="str"/>
      <x:c r="J14" s="15" t="str"/>
    </x:row>
    <x:row r="15" ht="38" customHeight="1">
      <x:c r="A15" s="15" t="str">
        <x:v>Q012</x:v>
      </x:c>
      <x:c r="B15" s="15" t="str">
        <x:v>智动力</x:v>
      </x:c>
      <x:c r="C15" s="15" t="str">
        <x:v>Z1</x:v>
      </x:c>
      <x:c r="D15" s="15" t="str">
        <x:v>P0</x:v>
      </x:c>
      <x:c r="E15" s="15" t="str">
        <x:v>SDK</x:v>
      </x:c>
      <x:c r="F15" s="15" t="str">
        <x:v>startHybridTrajectorySubscription、configHybridTrajectory和startHybridTrajectory的版本关系是什么</x:v>
      </x:c>
      <x:c r="G15" s="15" t="str">
        <x:v>r26.6手册命名不一致</x:v>
      </x:c>
      <x:c r="H15" s="15" t="str">
        <x:v>待供应商回复</x:v>
      </x:c>
      <x:c r="I15" s="15" t="str"/>
      <x:c r="J15" s="15" t="str"/>
    </x:row>
    <x:row r="16" ht="38" customHeight="1">
      <x:c r="A16" s="15" t="str">
        <x:v>Q013</x:v>
      </x:c>
      <x:c r="B16" s="15" t="str">
        <x:v>智动力</x:v>
      </x:c>
      <x:c r="C16" s="15" t="str">
        <x:v>Z1</x:v>
      </x:c>
      <x:c r="D16" s="15" t="str">
        <x:v>P0</x:v>
      </x:c>
      <x:c r="E16" s="15" t="str">
        <x:v>坐标系</x:v>
      </x:c>
      <x:c r="F16" s="15" t="str">
        <x:v>状态矩阵行主序、IK列主序及MoveL矩阵顺序如何统一</x:v>
      </x:c>
      <x:c r="G16" s="15" t="str">
        <x:v>r26.6手册定义不一致</x:v>
      </x:c>
      <x:c r="H16" s="15" t="str">
        <x:v>待供应商回复</x:v>
      </x:c>
      <x:c r="I16" s="15" t="str"/>
      <x:c r="J16" s="15" t="str"/>
    </x:row>
    <x:row r="17" ht="38" customHeight="1">
      <x:c r="A17" s="15" t="str">
        <x:v>Q014</x:v>
      </x:c>
      <x:c r="B17" s="15" t="str">
        <x:v>智动力</x:v>
      </x:c>
      <x:c r="C17" s="15" t="str">
        <x:v>Z1</x:v>
      </x:c>
      <x:c r="D17" s="15" t="str">
        <x:v>P0</x:v>
      </x:c>
      <x:c r="E17" s="15" t="str">
        <x:v>夹爪</x:v>
      </x:c>
      <x:c r="F17" s="15" t="str">
        <x:v>夹爪力矩0至5N的单位是否应为N·m</x:v>
      </x:c>
      <x:c r="G17" s="15" t="str">
        <x:v>手册力和力矩单位矛盾</x:v>
      </x:c>
      <x:c r="H17" s="15" t="str">
        <x:v>待供应商回复</x:v>
      </x:c>
      <x:c r="I17" s="15" t="str"/>
      <x:c r="J17" s="15" t="str"/>
    </x:row>
    <x:row r="18" ht="38" customHeight="1">
      <x:c r="A18" s="15" t="str">
        <x:v>Q015</x:v>
      </x:c>
      <x:c r="B18" s="15" t="str">
        <x:v>智动力</x:v>
      </x:c>
      <x:c r="C18" s="15" t="str">
        <x:v>JUNO2-SD</x:v>
      </x:c>
      <x:c r="D18" s="15" t="str">
        <x:v>P0</x:v>
      </x:c>
      <x:c r="E18" s="15" t="str">
        <x:v>底盘</x:v>
      </x:c>
      <x:c r="F18" s="15" t="str">
        <x:v>是否可更换为四舵轮或四轮四转底盘</x:v>
      </x:c>
      <x:c r="G18" s="15" t="str">
        <x:v>现有双差速底盘不支持纯横移</x:v>
      </x:c>
      <x:c r="H18" s="15" t="str">
        <x:v>待供应商回复</x:v>
      </x:c>
      <x:c r="I18" s="15" t="str"/>
      <x:c r="J18" s="15" t="str"/>
    </x:row>
    <x:row r="19" ht="38" customHeight="1">
      <x:c r="A19" s="15" t="str">
        <x:v>Q016</x:v>
      </x:c>
      <x:c r="B19" s="15" t="str">
        <x:v>宇树</x:v>
      </x:c>
      <x:c r="C19" s="15" t="str">
        <x:v>G1-D旗舰版</x:v>
      </x:c>
      <x:c r="D19" s="15" t="str">
        <x:v>P0</x:v>
      </x:c>
      <x:c r="E19" s="15" t="str">
        <x:v>底盘</x:v>
      </x:c>
      <x:c r="F19" s="15" t="str">
        <x:v>是否提供全向底盘版本或外接横移模块</x:v>
      </x:c>
      <x:c r="G19" s="15" t="str">
        <x:v>官方为差速底盘</x:v>
      </x:c>
      <x:c r="H19" s="15" t="str">
        <x:v>待供应商回复</x:v>
      </x:c>
      <x:c r="I19" s="15" t="str"/>
      <x:c r="J19" s="15" t="str"/>
    </x:row>
    <x:row r="20" ht="38" customHeight="1">
      <x:c r="A20" s="15" t="str">
        <x:v>Q017</x:v>
      </x:c>
      <x:c r="B20" s="15" t="str">
        <x:v>天机智能</x:v>
      </x:c>
      <x:c r="C20" s="15" t="str">
        <x:v>Marvin M6 CCS</x:v>
      </x:c>
      <x:c r="D20" s="15" t="str">
        <x:v>P0</x:v>
      </x:c>
      <x:c r="E20" s="15" t="str">
        <x:v>系统集成</x:v>
      </x:c>
      <x:c r="F20" s="15" t="str">
        <x:v>能否提供带四舵轮底盘、导航和安全控制的完整本体方案</x:v>
      </x:c>
      <x:c r="G20" s="15" t="str">
        <x:v>现有资料仅为双臂模块</x:v>
      </x:c>
      <x:c r="H20" s="15" t="str">
        <x:v>待供应商回复</x:v>
      </x:c>
      <x:c r="I20" s="15" t="str"/>
      <x:c r="J20" s="15" t="str"/>
    </x:row>
    <x:row r="21" ht="38" customHeight="1">
      <x:c r="A21" s="15" t="str">
        <x:v>Q018</x:v>
      </x:c>
      <x:c r="B21" s="15" t="str">
        <x:v>全部</x:v>
      </x:c>
      <x:c r="C21" s="15" t="str">
        <x:v>全部</x:v>
      </x:c>
      <x:c r="D21" s="15" t="str">
        <x:v>P0</x:v>
      </x:c>
      <x:c r="E21" s="15" t="str">
        <x:v>线束POC</x:v>
      </x:c>
      <x:c r="F21" s="15" t="str">
        <x:v>完成横移捋线500至1000次并记录节拍、成功率、损伤率和人工介入次数</x:v>
      </x:c>
      <x:c r="G21" s="15" t="str">
        <x:v>尚未实测</x:v>
      </x:c>
      <x:c r="H21" s="15" t="str">
        <x:v>待POC</x:v>
      </x:c>
      <x:c r="I21" s="15" t="str"/>
      <x:c r="J21" s="15" t="str"/>
    </x:row>
  </x:sheetData>
  <x:mergeCells>
    <x:mergeCell ref="A1:J1"/>
  </x:mergeCells>
  <x:conditionalFormatting sqref="D4:D21">
    <x:cfRule type="cellIs" dxfId="4" priority="1">
      <x:formula>"P0"</x:formula>
    </x:cfRule>
    <x:cfRule type="cellIs" dxfId="5" priority="2">
      <x:formula>"P1"</x:formula>
    </x:cfRule>
  </x:conditionalFormatting>
  <x:dataValidations count="1">
    <x:dataValidation type="list" sqref="H4:H21">
      <x:formula1>"待供应商回复,待POC,待IT联调,进行中,已关闭,不适用"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f5b907c53843b0"/>
  </x:tableParts>
</x:worksheet>
</file>

<file path=xl/worksheets/sheet5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8" hidden="0" customWidth="1"/>
    <x:col min="2" max="2" width="12" hidden="0" customWidth="1"/>
    <x:col min="3" max="3" width="33" hidden="0" customWidth="1"/>
    <x:col min="4" max="4" width="48" hidden="0" customWidth="1"/>
    <x:col min="5" max="5" width="16" hidden="0" customWidth="1"/>
    <x:col min="6" max="6" width="48" hidden="0" customWidth="1"/>
    <x:col min="7" max="7" width="14" hidden="0" customWidth="1"/>
    <x:col min="8" max="8" width="12" hidden="0" customWidth="1"/>
    <x:col min="9" max="9" width="38" hidden="0" customWidth="1"/>
  </x:cols>
  <x:sheetData>
    <x:row r="1">
      <x:c r="A1" s="5" t="str">
        <x:v>来源证据登记｜内部文件仅登记名称，不随仓库上传</x:v>
      </x:c>
      <x:c r="B1" s="5"/>
      <x:c r="C1" s="5"/>
      <x:c r="D1" s="5"/>
      <x:c r="E1" s="5"/>
      <x:c r="F1" s="5"/>
      <x:c r="G1" s="5"/>
      <x:c r="H1" s="5"/>
      <x:c r="I1" s="5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</x:row>
    <x:row r="3">
      <x:c r="A3" s="13" t="str">
        <x:v>source_id</x:v>
      </x:c>
      <x:c r="B3" s="13" t="str">
        <x:v>model_id</x:v>
      </x:c>
      <x:c r="C3" s="13" t="str">
        <x:v>source_type</x:v>
      </x:c>
      <x:c r="D3" s="13" t="str">
        <x:v>title</x:v>
      </x:c>
      <x:c r="E3" s="13" t="str">
        <x:v>source_locator</x:v>
      </x:c>
      <x:c r="F3" s="13" t="str">
        <x:v>document_date</x:v>
      </x:c>
      <x:c r="G3" s="13" t="str">
        <x:v>accessed_date</x:v>
      </x:c>
      <x:c r="H3" s="13" t="str">
        <x:v>confidence</x:v>
      </x:c>
      <x:c r="I3" s="13" t="str">
        <x:v>notes</x:v>
      </x:c>
    </x:row>
    <x:row r="4" ht="42" customHeight="1">
      <x:c r="A4" s="15" t="str">
        <x:v>src_agibot_g2_manual</x:v>
      </x:c>
      <x:c r="B4" s="15" t="str">
        <x:v>agibot_g2</x:v>
      </x:c>
      <x:c r="C4" s="15" t="str">
        <x:v>官方用户手册</x:v>
      </x:c>
      <x:c r="D4" s="15" t="str">
        <x:v>智元精灵G2产品用户手册</x:v>
      </x:c>
      <x:c r="E4" s="15" t="str">
        <x:v>https://www.agibot.com.cn/filepage/362.html</x:v>
      </x:c>
      <x:c r="F4" s="15" t="str">
        <x:v>2026-04-28</x:v>
      </x:c>
      <x:c r="G4" s="15" t="str">
        <x:v>2026-09-15</x:v>
      </x:c>
      <x:c r="H4" s="15" t="str">
        <x:v>高</x:v>
      </x:c>
      <x:c r="I4" s="15" t="str">
        <x:v>参数表和接口定义较完整</x:v>
      </x:c>
    </x:row>
    <x:row r="5" ht="42" customHeight="1">
      <x:c r="A5" s="15" t="str">
        <x:v>src_astribot_s1_official</x:v>
      </x:c>
      <x:c r="B5" s="15" t="str">
        <x:v>astribot_s1</x:v>
      </x:c>
      <x:c r="C5" s="15" t="str">
        <x:v>官方网站</x:v>
      </x:c>
      <x:c r="D5" s="15" t="str">
        <x:v>星尘智能S1产品页</x:v>
      </x:c>
      <x:c r="E5" s="15" t="str">
        <x:v>https://www.astribot.com/product/</x:v>
      </x:c>
      <x:c r="F5" s="15" t="str"/>
      <x:c r="G5" s="15" t="str">
        <x:v>2026-09-15</x:v>
      </x:c>
      <x:c r="H5" s="15" t="str">
        <x:v>高</x:v>
      </x:c>
      <x:c r="I5" s="15" t="str">
        <x:v>包含操作性能和整机基础参数</x:v>
      </x:c>
    </x:row>
    <x:row r="6" ht="42" customHeight="1">
      <x:c r="A6" s="15" t="str">
        <x:v>src_astribot_suite</x:v>
      </x:c>
      <x:c r="B6" s="15" t="str">
        <x:v>astribot_s1</x:v>
      </x:c>
      <x:c r="C6" s="15" t="str">
        <x:v>研发论文</x:v>
      </x:c>
      <x:c r="D6" s="15" t="str">
        <x:v>Towards Human-level Intelligence via Human-like Whole-Body Manipulation</x:v>
      </x:c>
      <x:c r="E6" s="15" t="str">
        <x:v>https://arxiv.org/abs/2507.17141</x:v>
      </x:c>
      <x:c r="F6" s="15" t="str">
        <x:v>2025-07-23</x:v>
      </x:c>
      <x:c r="G6" s="15" t="str">
        <x:v>2026-09-15</x:v>
      </x:c>
      <x:c r="H6" s="15" t="str">
        <x:v>高</x:v>
      </x:c>
      <x:c r="I6" s="15" t="str">
        <x:v>包含23自由度构成和三自由度全向底盘</x:v>
      </x:c>
    </x:row>
    <x:row r="7" ht="42" customHeight="1">
      <x:c r="A7" s="15" t="str">
        <x:v>src_unitree_g1d</x:v>
      </x:c>
      <x:c r="B7" s="15" t="str">
        <x:v>unitree_g1d_flagship</x:v>
      </x:c>
      <x:c r="C7" s="15" t="str">
        <x:v>官方网站</x:v>
      </x:c>
      <x:c r="D7" s="15" t="str">
        <x:v>Unitree G1-D产品参数</x:v>
      </x:c>
      <x:c r="E7" s="15" t="str">
        <x:v>https://www.unitree.com/cn/mobile/G1-D/</x:v>
      </x:c>
      <x:c r="F7" s="15" t="str"/>
      <x:c r="G7" s="15" t="str">
        <x:v>2026-09-15</x:v>
      </x:c>
      <x:c r="H7" s="15" t="str">
        <x:v>高</x:v>
      </x:c>
      <x:c r="I7" s="15" t="str">
        <x:v>同时覆盖旗舰版和通用版</x:v>
      </x:c>
    </x:row>
    <x:row r="8" ht="42" customHeight="1">
      <x:c r="A8" s="15" t="str">
        <x:v>src_unitree_g1d_std</x:v>
      </x:c>
      <x:c r="B8" s="15" t="str">
        <x:v>unitree_g1d_standard</x:v>
      </x:c>
      <x:c r="C8" s="15" t="str">
        <x:v>官方网站</x:v>
      </x:c>
      <x:c r="D8" s="15" t="str">
        <x:v>Unitree G1-D产品参数</x:v>
      </x:c>
      <x:c r="E8" s="15" t="str">
        <x:v>https://www.unitree.com/cn/mobile/G1-D/</x:v>
      </x:c>
      <x:c r="F8" s="15" t="str"/>
      <x:c r="G8" s="15" t="str">
        <x:v>2026-09-15</x:v>
      </x:c>
      <x:c r="H8" s="15" t="str">
        <x:v>高</x:v>
      </x:c>
      <x:c r="I8" s="15" t="str">
        <x:v>通用版无主动底盘参数</x:v>
      </x:c>
    </x:row>
    <x:row r="9" ht="42" customHeight="1">
      <x:c r="A9" s="15" t="str">
        <x:v>src_zdl_d1</x:v>
      </x:c>
      <x:c r="B9" s="15" t="str">
        <x:v>zdl_d1</x:v>
      </x:c>
      <x:c r="C9" s="15" t="str">
        <x:v>供应商PDF</x:v>
      </x:c>
      <x:c r="D9" s="15" t="str">
        <x:v>D1（擎骏系列）.pdf</x:v>
      </x:c>
      <x:c r="E9" s="15" t="str">
        <x:v>external-private/智动力/D1（擎骏系列）.pdf</x:v>
      </x:c>
      <x:c r="F9" s="15" t="str"/>
      <x:c r="G9" s="15" t="str">
        <x:v>2026-09-15</x:v>
      </x:c>
      <x:c r="H9" s="15" t="str">
        <x:v>中</x:v>
      </x:c>
      <x:c r="I9" s="15" t="str">
        <x:v>供应商产品册，尚未实测</x:v>
      </x:c>
    </x:row>
    <x:row r="10" ht="42" customHeight="1">
      <x:c r="A10" s="15" t="str">
        <x:v>src_zdl_juno2</x:v>
      </x:c>
      <x:c r="B10" s="15" t="str">
        <x:v>zdl_juno2</x:v>
      </x:c>
      <x:c r="C10" s="15" t="str">
        <x:v>供应商PDF</x:v>
      </x:c>
      <x:c r="D10" s="15" t="str">
        <x:v>JUNO2-SD（龙骏系列）.pdf</x:v>
      </x:c>
      <x:c r="E10" s="15" t="str">
        <x:v>external-private/智动力/JUNO2-SD（龙骏系列）.pdf</x:v>
      </x:c>
      <x:c r="F10" s="15" t="str"/>
      <x:c r="G10" s="15" t="str">
        <x:v>2026-09-15</x:v>
      </x:c>
      <x:c r="H10" s="15" t="str">
        <x:v>中</x:v>
      </x:c>
      <x:c r="I10" s="15" t="str">
        <x:v>供应商产品册，尚未实测</x:v>
      </x:c>
    </x:row>
    <x:row r="11" ht="42" customHeight="1">
      <x:c r="A11" s="15" t="str">
        <x:v>src_zdl_juno1</x:v>
      </x:c>
      <x:c r="B11" s="15" t="str">
        <x:v>zdl_juno1</x:v>
      </x:c>
      <x:c r="C11" s="15" t="str">
        <x:v>供应商PDF</x:v>
      </x:c>
      <x:c r="D11" s="15" t="str">
        <x:v>JUNO1-P（智骏系列）.pdf</x:v>
      </x:c>
      <x:c r="E11" s="15" t="str">
        <x:v>external-private/智动力/JUNO1-P（智骏系列）.pdf</x:v>
      </x:c>
      <x:c r="F11" s="15" t="str"/>
      <x:c r="G11" s="15" t="str">
        <x:v>2026-09-15</x:v>
      </x:c>
      <x:c r="H11" s="15" t="str">
        <x:v>中</x:v>
      </x:c>
      <x:c r="I11" s="15" t="str">
        <x:v>供应商产品册，尚未实测</x:v>
      </x:c>
    </x:row>
    <x:row r="12" ht="42" customHeight="1">
      <x:c r="A12" s="15" t="str">
        <x:v>src_zdl_l1</x:v>
      </x:c>
      <x:c r="B12" s="15" t="str">
        <x:v>zdl_l1</x:v>
      </x:c>
      <x:c r="C12" s="15" t="str">
        <x:v>供应商PDF</x:v>
      </x:c>
      <x:c r="D12" s="15" t="str">
        <x:v>L1（灵骏系列）.pdf</x:v>
      </x:c>
      <x:c r="E12" s="15" t="str">
        <x:v>external-private/智动力/L1（灵骏系列）.pdf</x:v>
      </x:c>
      <x:c r="F12" s="15" t="str"/>
      <x:c r="G12" s="15" t="str">
        <x:v>2026-09-15</x:v>
      </x:c>
      <x:c r="H12" s="15" t="str">
        <x:v>中</x:v>
      </x:c>
      <x:c r="I12" s="15" t="str">
        <x:v>供应商产品册，尚未实测</x:v>
      </x:c>
    </x:row>
    <x:row r="13" ht="42" customHeight="1">
      <x:c r="A13" s="15" t="str">
        <x:v>src_zdl_z1</x:v>
      </x:c>
      <x:c r="B13" s="15" t="str">
        <x:v>zdl_z1</x:v>
      </x:c>
      <x:c r="C13" s="15" t="str">
        <x:v>供应商开发手册</x:v>
      </x:c>
      <x:c r="D13" s="15" t="str">
        <x:v>全尺寸人形机器人Z1开发手册 r26.6.md</x:v>
      </x:c>
      <x:c r="E13" s="15" t="str">
        <x:v>external-private/智动力/全尺寸人形机器人Z1开发手册 r26.6.md</x:v>
      </x:c>
      <x:c r="F13" s="15" t="str">
        <x:v>2026-07-25</x:v>
      </x:c>
      <x:c r="G13" s="15" t="str">
        <x:v>2026-09-15</x:v>
      </x:c>
      <x:c r="H13" s="15" t="str">
        <x:v>中</x:v>
      </x:c>
      <x:c r="I13" s="15" t="str">
        <x:v>接口文档存在多项待澄清问题</x:v>
      </x:c>
    </x:row>
    <x:row r="14" ht="42" customHeight="1">
      <x:c r="A14" s="15" t="str">
        <x:v>src_tianji_marvin</x:v>
      </x:c>
      <x:c r="B14" s="15" t="str">
        <x:v>tianji_marvin_m6ccs</x:v>
      </x:c>
      <x:c r="C14" s="15" t="str">
        <x:v>供应商PDF</x:v>
      </x:c>
      <x:c r="D14" s="15" t="str">
        <x:v>Marvin系列 三折页 250721-CN.pdf</x:v>
      </x:c>
      <x:c r="E14" s="15" t="str">
        <x:v>external-private/天机智能/Marvin系列 三折页 250721-CN.pdf</x:v>
      </x:c>
      <x:c r="F14" s="15" t="str">
        <x:v>2025-07</x:v>
      </x:c>
      <x:c r="G14" s="15" t="str">
        <x:v>2026-09-15</x:v>
      </x:c>
      <x:c r="H14" s="15" t="str">
        <x:v>中</x:v>
      </x:c>
      <x:c r="I14" s="15" t="str">
        <x:v>单臂/双臂模块参数，不含标准底盘</x:v>
      </x:c>
    </x:row>
  </x:sheetData>
  <x:mergeCells>
    <x:mergeCell ref="A1:I1"/>
  </x:mergeCells>
  <x:pageMargins left="0.7" right="0.7" top="0.75" bottom="0.75" header="0.3" footer="0.3"/>
  <x:tableParts count="1">
    <x:tablePart xmlns:r="http://schemas.openxmlformats.org/officeDocument/2006/relationships" r:id="Ra76ca5ab740f4230"/>
  </x:tableParts>
</x:worksheet>
</file>
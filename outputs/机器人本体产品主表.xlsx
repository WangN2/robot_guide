
<file path=[Content_Types].xml><?xml version="1.0" encoding="utf-8"?>
<Types xmlns="http://schemas.openxmlformats.org/package/2006/content-types">
  <Default Extension="xml" ContentType="application/vnd.openxmlformats-officedocument.spreadsheetml.sheet.main+xml"/>
  <Default Extension="png" ContentType="image/png"/>
  <Default Extension="jpg" ContentType="image/jpe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bac740ed9184454" /></Relationships>
</file>

<file path=xl/workbook.xml><?xml version="1.0" encoding="utf-8"?>
<x:workbook xmlns:x="http://schemas.openxmlformats.org/spreadsheetml/2006/main">
  <x:sheets>
    <x:sheet xmlns:r="http://schemas.openxmlformats.org/officeDocument/2006/relationships" name="决策摘要" sheetId="1" r:id="R3ed96af3fcb64d1b"/>
    <x:sheet xmlns:r="http://schemas.openxmlformats.org/officeDocument/2006/relationships" name="型号图示" sheetId="2" r:id="Ra0efeb1d15634d72"/>
    <x:sheet xmlns:r="http://schemas.openxmlformats.org/officeDocument/2006/relationships" name="场景评分" sheetId="3" r:id="R309e999abf524a6a"/>
    <x:sheet xmlns:r="http://schemas.openxmlformats.org/officeDocument/2006/relationships" name="参数主表" sheetId="4" r:id="Rda6d8609b6234339"/>
    <x:sheet xmlns:r="http://schemas.openxmlformats.org/officeDocument/2006/relationships" name="问题清单" sheetId="5" r:id="Rc18e434436c242e3"/>
    <x:sheet xmlns:r="http://schemas.openxmlformats.org/officeDocument/2006/relationships" name="来源证据" sheetId="6" r:id="R8576dac86e3841f5"/>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
    <x:numFmt numFmtId="201" formatCode="0%"/>
  </x:numFmts>
  <x:fonts count="10">
    <x:font>
      <x:sz val="11"/>
      <x:name val="Carlito"/>
    </x:font>
    <x:font>
      <x:sz val="10"/>
      <x:color rgb="FF1F2937"/>
      <x:name val="Arial"/>
    </x:font>
    <x:font>
      <x:b/>
      <x:sz val="15"/>
      <x:color rgb="FFFFFFFF"/>
      <x:name val="Arial"/>
    </x:font>
    <x:font>
      <x:b/>
      <x:sz val="11"/>
      <x:color rgb="FF7F6000"/>
      <x:name val="Carlito"/>
    </x:font>
    <x:font>
      <x:b/>
      <x:sz val="10"/>
      <x:color rgb="FFFFFFFF"/>
      <x:name val="Carlito"/>
    </x:font>
    <x:font>
      <x:i/>
      <x:sz val="11"/>
      <x:color rgb="FF17365D"/>
      <x:name val="Carlito"/>
    </x:font>
    <x:font>
      <x:b/>
      <x:sz val="11"/>
      <x:color rgb="FF1F2937"/>
      <x:name val="Carlito"/>
    </x:font>
    <x:font>
      <x:i/>
      <x:sz val="9"/>
      <x:color rgb="FF6B7280"/>
      <x:name val="Carlito"/>
    </x:font>
    <x:font>
      <x:b/>
      <x:sz val="10"/>
      <x:color rgb="FF1F2937"/>
      <x:name val="Carlito"/>
    </x:font>
    <x:font>
      <x:b/>
      <x:sz val="11"/>
      <x:name val="Carlito"/>
    </x:font>
  </x:fonts>
  <x:fills count="6">
    <x:fill>
      <x:patternFill patternType="none"/>
    </x:fill>
    <x:fill>
      <x:patternFill patternType="gray125"/>
    </x:fill>
    <x:fill>
      <x:patternFill patternType="solid">
        <x:fgColor rgb="FF17365D"/>
      </x:patternFill>
    </x:fill>
    <x:fill>
      <x:patternFill patternType="solid">
        <x:fgColor rgb="FFFFF2CC"/>
      </x:patternFill>
    </x:fill>
    <x:fill>
      <x:patternFill patternType="solid">
        <x:fgColor rgb="FFEAF3F8"/>
      </x:patternFill>
    </x:fill>
    <x:fill>
      <x:patternFill patternType="solid">
        <x:fgColor rgb="FFD9EAF7"/>
      </x:patternFill>
    </x:fill>
  </x:fills>
  <x:borders count="1">
    <x:border/>
  </x:borders>
  <x:cellStyleXfs count="1">
    <x:xf numFmtId="0" fontId="0" fillId="0" borderId="0"/>
  </x:cellStyleXfs>
  <x:cellXfs count="35">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horizontal="left"/>
    </x:xf>
    <x:xf numFmtId="0" fontId="2" fillId="2" borderId="0" xfId="0" applyNumberFormat="1" applyFont="1" applyFill="1" applyBorder="1" applyAlignment="1">
      <x:alignment horizontal="left" vertical="center"/>
    </x:xf>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4" fillId="2" borderId="0" xfId="0" applyNumberFormat="1" applyFont="1" applyFill="1" applyBorder="1" applyAlignment="1">
      <x:alignment wrapText="1"/>
    </x:xf>
    <x:xf numFmtId="0" fontId="4" fillId="2" borderId="0" xfId="0" applyNumberFormat="1" applyFont="1" applyFill="1" applyBorder="1" applyAlignment="1">
      <x:alignment horizontal="center" wrapText="1"/>
    </x:xf>
    <x:xf numFmtId="0" fontId="4" fillId="2" borderId="0" xfId="0" applyNumberFormat="1" applyFont="1" applyFill="1" applyBorder="1" applyAlignment="1">
      <x:alignment horizontal="center" vertical="center" wrapText="1"/>
    </x:xf>
    <x:xf numFmtId="200" fontId="0" fillId="0" borderId="0" xfId="0" applyNumberFormat="1" applyFont="1" applyFill="1" applyBorder="1"/>
    <x:xf numFmtId="0" fontId="0" fillId="0" borderId="0" xfId="0" applyNumberFormat="1" applyFont="1" applyFill="1" applyBorder="1" applyAlignment="1">
      <x:alignment wrapText="1"/>
    </x:xf>
    <x:xf numFmtId="200" fontId="0" fillId="0" borderId="0" xfId="0" applyNumberFormat="1" applyFont="1" applyFill="1" applyBorder="1" applyAlignment="1">
      <x:alignment wrapText="1"/>
    </x:xf>
    <x:xf numFmtId="0" fontId="0" fillId="4" borderId="0" xfId="0" applyNumberFormat="1" applyFont="1" applyFill="1" applyBorder="1"/>
    <x:xf numFmtId="0" fontId="5" fillId="4" borderId="0" xfId="0" applyNumberFormat="1" applyFont="1" applyFill="1" applyBorder="1"/>
    <x:xf numFmtId="0" fontId="5" fillId="4" borderId="0" xfId="0" applyNumberFormat="1" applyFont="1" applyFill="1" applyBorder="1" applyAlignment="1">
      <x:alignment wrapText="1"/>
    </x:xf>
    <x:xf numFmtId="0" fontId="5" fillId="4" borderId="0" xfId="0" applyNumberFormat="1" applyFont="1" applyFill="1" applyBorder="1" applyAlignment="1">
      <x:alignment horizontal="left"/>
    </x:xf>
    <x:xf numFmtId="0" fontId="5" fillId="4" borderId="0" xfId="0" applyNumberFormat="1" applyFont="1" applyFill="1" applyBorder="1" applyAlignment="1">
      <x:alignment horizontal="left" vertical="center"/>
    </x:xf>
    <x:xf numFmtId="0" fontId="0" fillId="5" borderId="0" xfId="0" applyNumberFormat="1" applyFont="1" applyFill="1" applyBorder="1"/>
    <x:xf numFmtId="0" fontId="6" fillId="5" borderId="0" xfId="0" applyNumberFormat="1" applyFont="1" applyFill="1" applyBorder="1"/>
    <x:xf numFmtId="0" fontId="6" fillId="5" borderId="0" xfId="0" applyNumberFormat="1" applyFont="1" applyFill="1" applyBorder="1" applyAlignment="1">
      <x:alignment horizontal="center"/>
    </x:xf>
    <x:xf numFmtId="0" fontId="6" fillId="5" borderId="0" xfId="0" applyNumberFormat="1" applyFont="1" applyFill="1" applyBorder="1" applyAlignment="1">
      <x:alignment horizontal="center" vertical="center"/>
    </x:xf>
    <x:xf numFmtId="0" fontId="7" fillId="0" borderId="0" xfId="0" applyNumberFormat="1" applyFont="1" applyFill="1" applyBorder="1"/>
    <x:xf numFmtId="0" fontId="7" fillId="0" borderId="0" xfId="0" applyNumberFormat="1" applyFont="1" applyFill="1" applyBorder="1" applyAlignment="1">
      <x:alignment horizontal="center"/>
    </x:xf>
    <x:xf numFmtId="0" fontId="8" fillId="5" borderId="0" xfId="0" applyNumberFormat="1" applyFont="1" applyFill="1" applyBorder="1"/>
    <x:xf numFmtId="0" fontId="8" fillId="5" borderId="0" xfId="0" applyNumberFormat="1" applyFont="1" applyFill="1" applyBorder="1" applyAlignment="1">
      <x:alignment wrapText="1"/>
    </x:xf>
    <x:xf numFmtId="0" fontId="8" fillId="5" borderId="0" xfId="0" applyNumberFormat="1" applyFont="1" applyFill="1" applyBorder="1" applyAlignment="1">
      <x:alignment horizontal="center" wrapText="1"/>
    </x:xf>
    <x:xf numFmtId="0" fontId="8" fillId="5" borderId="0" xfId="0" applyNumberFormat="1" applyFont="1" applyFill="1" applyBorder="1" applyAlignment="1">
      <x:alignment horizontal="center" vertical="center" wrapText="1"/>
    </x:xf>
    <x:xf numFmtId="0" fontId="9" fillId="4" borderId="0" xfId="0" applyNumberFormat="1" applyFont="1" applyFill="1" applyBorder="1"/>
    <x:xf numFmtId="0" fontId="9" fillId="4" borderId="0" xfId="0" applyNumberFormat="1" applyFont="1" applyFill="1" applyBorder="1" applyAlignment="1">
      <x:alignment horizontal="center"/>
    </x:xf>
    <x:xf numFmtId="201" fontId="9" fillId="4" borderId="0" xfId="0" applyNumberFormat="1" applyFont="1" applyFill="1" applyBorder="1" applyAlignment="1">
      <x:alignment horizontal="center"/>
    </x:xf>
  </x:cellXfs>
  <x:cellStyles count="1">
    <x:cellStyle name="Normal" xfId="0"/>
  </x:cellStyles>
  <x:dxfs count="6">
    <x:dxf>
      <x:font>
        <x:b/>
        <x:color rgb="FF9C0006"/>
      </x:font>
      <x:fill>
        <x:patternFill patternType="solid">
          <x:bgColor rgb="FFFCE4D6"/>
        </x:patternFill>
      </x:fill>
    </x:dxf>
    <x:dxf>
      <x:font>
        <x:b/>
        <x:color rgb="FF375623"/>
      </x:font>
      <x:fill>
        <x:patternFill patternType="solid">
          <x:bgColor rgb="FFE2F0D9"/>
        </x:patternFill>
      </x:fill>
    </x:dxf>
    <x:dxf>
      <x:font>
        <x:b/>
        <x:color rgb="FF9C0006"/>
      </x:font>
      <x:fill>
        <x:patternFill patternType="solid">
          <x:bgColor rgb="FFFCE4D6"/>
        </x:patternFill>
      </x:fill>
    </x:dxf>
    <x:dxf>
      <x:font>
        <x:b/>
        <x:color rgb="FF375623"/>
      </x:font>
      <x:fill>
        <x:patternFill patternType="solid">
          <x:bgColor rgb="FFE2F0D9"/>
        </x:patternFill>
      </x:fill>
    </x:dxf>
    <x:dxf>
      <x:font>
        <x:b/>
        <x:color rgb="FF9C0006"/>
      </x:font>
      <x:fill>
        <x:patternFill patternType="solid">
          <x:bgColor rgb="FFFCE4D6"/>
        </x:patternFill>
      </x:fill>
    </x:dxf>
    <x:dxf>
      <x:font>
        <x:b/>
        <x:color rgb="FF7F6000"/>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6b7dcf8aec94f15" /><Relationship Type="http://schemas.openxmlformats.org/officeDocument/2006/relationships/theme" Target="/xl/theme/theme1.xml" Id="Rbf2239605f614c81" /><Relationship Type="http://schemas.openxmlformats.org/officeDocument/2006/relationships/sharedStrings" Target="/xl/sharedStrings.xml" Id="Rd94c6a99a7bd4a06" /><Relationship Type="http://schemas.openxmlformats.org/officeDocument/2006/relationships/worksheet" Target="/xl/worksheets/sheet1.xml" Id="R3ed96af3fcb64d1b" /><Relationship Type="http://schemas.openxmlformats.org/officeDocument/2006/relationships/worksheet" Target="/xl/worksheets/sheet2.xml" Id="Ra0efeb1d15634d72" /><Relationship Type="http://schemas.openxmlformats.org/officeDocument/2006/relationships/worksheet" Target="/xl/worksheets/sheet3.xml" Id="R309e999abf524a6a" /><Relationship Type="http://schemas.openxmlformats.org/officeDocument/2006/relationships/worksheet" Target="/xl/worksheets/sheet4.xml" Id="Rda6d8609b6234339" /><Relationship Type="http://schemas.openxmlformats.org/officeDocument/2006/relationships/worksheet" Target="/xl/worksheets/sheet5.xml" Id="Rc18e434436c242e3" /><Relationship Type="http://schemas.openxmlformats.org/officeDocument/2006/relationships/worksheet" Target="/xl/worksheets/sheet6.xml" Id="R8576dac86e3841f5" /></Relationships>
</file>

<file path=xl/drawings/_rels/drawing1.xml.rels>&#65279;<?xml version="1.0" encoding="utf-8"?><Relationships xmlns="http://schemas.openxmlformats.org/package/2006/relationships"><Relationship Type="http://schemas.openxmlformats.org/officeDocument/2006/relationships/image" Target="/xl/media/image.png" Id="R66cdb46197e146f7" /><Relationship Type="http://schemas.openxmlformats.org/officeDocument/2006/relationships/image" Target="/xl/media/image.jpg" Id="R06cb6e2fe5f34865" /><Relationship Type="http://schemas.openxmlformats.org/officeDocument/2006/relationships/image" Target="/xl/media/image2.jpg" Id="R7ee2b1508e5f40aa" /><Relationship Type="http://schemas.openxmlformats.org/officeDocument/2006/relationships/image" Target="/xl/media/image3.jpg" Id="R2d0314bcdd0a49d0" /><Relationship Type="http://schemas.openxmlformats.org/officeDocument/2006/relationships/image" Target="/xl/media/image4.jpg" Id="R032b736719cc4d96" /><Relationship Type="http://schemas.openxmlformats.org/officeDocument/2006/relationships/image" Target="/xl/media/image5.jpg" Id="R6b544f7a2b3048f9" /><Relationship Type="http://schemas.openxmlformats.org/officeDocument/2006/relationships/image" Target="/xl/media/image6.jpg" Id="R07a47e47521b447a" /><Relationship Type="http://schemas.openxmlformats.org/officeDocument/2006/relationships/image" Target="/xl/media/image7.jpg" Id="R0e9fff79102340e8" /><Relationship Type="http://schemas.openxmlformats.org/officeDocument/2006/relationships/image" Target="/xl/media/image8.jpg" Id="R1c32660de22244be" /><Relationship Type="http://schemas.openxmlformats.org/officeDocument/2006/relationships/image" Target="/xl/media/image9.jpg" Id="Rabef248c63fd4c3f" /><Relationship Type="http://schemas.openxmlformats.org/officeDocument/2006/relationships/image" Target="/xl/media/image10.jpg" Id="R3dec1176d8b5473d" /><Relationship Type="http://schemas.openxmlformats.org/officeDocument/2006/relationships/image" Target="/xl/media/image11.jpg" Id="R71706e1d61cf4963" /></Relationships>
</file>

<file path=xl/drawings/drawing1.xml><?xml version="1.0" encoding="utf-8"?>
<xdr:wsDr xmlns:xdr="http://schemas.openxmlformats.org/drawingml/2006/spreadsheetDrawing">
  <xdr:oneCellAnchor>
    <xdr:from>
      <xdr:col>0</xdr:col>
      <xdr:colOff>0</xdr:colOff>
      <xdr:row>4</xdr:row>
      <xdr:rowOff>0</xdr:rowOff>
    </xdr:from>
    <xdr:ext cx="2333625" cy="1809750"/>
    <xdr:pic>
      <xdr:nvPicPr>
        <xdr:cNvPr id="1" name="bac3d4ac-6310-4050-9783-14cfdba677ae"/>
        <xdr:cNvPicPr>
          <a:picLocks xmlns:a="http://schemas.openxmlformats.org/drawingml/2006/main" noChangeAspect="1"/>
        </xdr:cNvPicPr>
      </xdr:nvPicPr>
      <xdr:blipFill>
        <a:blip xmlns:r="http://schemas.openxmlformats.org/officeDocument/2006/relationships" xmlns:a="http://schemas.openxmlformats.org/drawingml/2006/main" r:embed="R66cdb46197e146f7"/>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4</xdr:row>
      <xdr:rowOff>0</xdr:rowOff>
    </xdr:from>
    <xdr:ext cx="2333625" cy="1809750"/>
    <xdr:pic>
      <xdr:nvPicPr>
        <xdr:cNvPr id="2" name="f150938f-c0ce-49a7-866c-0ced09993435"/>
        <xdr:cNvPicPr>
          <a:picLocks xmlns:a="http://schemas.openxmlformats.org/drawingml/2006/main" noChangeAspect="1"/>
        </xdr:cNvPicPr>
      </xdr:nvPicPr>
      <xdr:blipFill>
        <a:blip xmlns:r="http://schemas.openxmlformats.org/officeDocument/2006/relationships" xmlns:a="http://schemas.openxmlformats.org/drawingml/2006/main" r:embed="R06cb6e2fe5f34865"/>
        <a:stretch xmlns:a="http://schemas.openxmlformats.org/drawingml/2006/main">
          <a:fillRect/>
        </a:stretch>
      </xdr:blipFill>
      <xdr:spPr>
        <a:prstGeom xmlns:a="http://schemas.openxmlformats.org/drawingml/2006/main" prst="rect"/>
      </xdr:spPr>
    </xdr:pic>
    <xdr:clientData/>
  </xdr:oneCellAnchor>
  <xdr:oneCellAnchor>
    <xdr:from>
      <xdr:col>4</xdr:col>
      <xdr:colOff>0</xdr:colOff>
      <xdr:row>4</xdr:row>
      <xdr:rowOff>0</xdr:rowOff>
    </xdr:from>
    <xdr:ext cx="2333625" cy="1809750"/>
    <xdr:pic>
      <xdr:nvPicPr>
        <xdr:cNvPr id="3" name="b014cd1a-00ce-4f13-bdf2-b331697cc429"/>
        <xdr:cNvPicPr>
          <a:picLocks xmlns:a="http://schemas.openxmlformats.org/drawingml/2006/main" noChangeAspect="1"/>
        </xdr:cNvPicPr>
      </xdr:nvPicPr>
      <xdr:blipFill>
        <a:blip xmlns:r="http://schemas.openxmlformats.org/officeDocument/2006/relationships" xmlns:a="http://schemas.openxmlformats.org/drawingml/2006/main" r:embed="R7ee2b1508e5f40aa"/>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17</xdr:row>
      <xdr:rowOff>0</xdr:rowOff>
    </xdr:from>
    <xdr:ext cx="2333625" cy="1809750"/>
    <xdr:pic>
      <xdr:nvPicPr>
        <xdr:cNvPr id="4" name="6ea4bc63-c241-40a2-a958-92d82d4122c2"/>
        <xdr:cNvPicPr>
          <a:picLocks xmlns:a="http://schemas.openxmlformats.org/drawingml/2006/main" noChangeAspect="1"/>
        </xdr:cNvPicPr>
      </xdr:nvPicPr>
      <xdr:blipFill>
        <a:blip xmlns:r="http://schemas.openxmlformats.org/officeDocument/2006/relationships" xmlns:a="http://schemas.openxmlformats.org/drawingml/2006/main" r:embed="R2d0314bcdd0a49d0"/>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17</xdr:row>
      <xdr:rowOff>0</xdr:rowOff>
    </xdr:from>
    <xdr:ext cx="2333625" cy="1809750"/>
    <xdr:pic>
      <xdr:nvPicPr>
        <xdr:cNvPr id="5" name="64a8a201-4279-4c15-b819-f08d78405f5e"/>
        <xdr:cNvPicPr>
          <a:picLocks xmlns:a="http://schemas.openxmlformats.org/drawingml/2006/main" noChangeAspect="1"/>
        </xdr:cNvPicPr>
      </xdr:nvPicPr>
      <xdr:blipFill>
        <a:blip xmlns:r="http://schemas.openxmlformats.org/officeDocument/2006/relationships" xmlns:a="http://schemas.openxmlformats.org/drawingml/2006/main" r:embed="R032b736719cc4d96"/>
        <a:stretch xmlns:a="http://schemas.openxmlformats.org/drawingml/2006/main">
          <a:fillRect/>
        </a:stretch>
      </xdr:blipFill>
      <xdr:spPr>
        <a:prstGeom xmlns:a="http://schemas.openxmlformats.org/drawingml/2006/main" prst="rect"/>
      </xdr:spPr>
    </xdr:pic>
    <xdr:clientData/>
  </xdr:oneCellAnchor>
  <xdr:oneCellAnchor>
    <xdr:from>
      <xdr:col>4</xdr:col>
      <xdr:colOff>0</xdr:colOff>
      <xdr:row>17</xdr:row>
      <xdr:rowOff>0</xdr:rowOff>
    </xdr:from>
    <xdr:ext cx="2333625" cy="1809750"/>
    <xdr:pic>
      <xdr:nvPicPr>
        <xdr:cNvPr id="6" name="d56e322e-82f1-47d4-bb80-c94e1043b0e7"/>
        <xdr:cNvPicPr>
          <a:picLocks xmlns:a="http://schemas.openxmlformats.org/drawingml/2006/main" noChangeAspect="1"/>
        </xdr:cNvPicPr>
      </xdr:nvPicPr>
      <xdr:blipFill>
        <a:blip xmlns:r="http://schemas.openxmlformats.org/officeDocument/2006/relationships" xmlns:a="http://schemas.openxmlformats.org/drawingml/2006/main" r:embed="R6b544f7a2b3048f9"/>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30</xdr:row>
      <xdr:rowOff>0</xdr:rowOff>
    </xdr:from>
    <xdr:ext cx="2333625" cy="1809750"/>
    <xdr:pic>
      <xdr:nvPicPr>
        <xdr:cNvPr id="7" name="576a465f-5405-4978-beec-4e5548e5b1aa"/>
        <xdr:cNvPicPr>
          <a:picLocks xmlns:a="http://schemas.openxmlformats.org/drawingml/2006/main" noChangeAspect="1"/>
        </xdr:cNvPicPr>
      </xdr:nvPicPr>
      <xdr:blipFill>
        <a:blip xmlns:r="http://schemas.openxmlformats.org/officeDocument/2006/relationships" xmlns:a="http://schemas.openxmlformats.org/drawingml/2006/main" r:embed="R07a47e47521b447a"/>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30</xdr:row>
      <xdr:rowOff>0</xdr:rowOff>
    </xdr:from>
    <xdr:ext cx="2333625" cy="1809750"/>
    <xdr:pic>
      <xdr:nvPicPr>
        <xdr:cNvPr id="8" name="8a13efc3-8166-4539-8085-0c43ca22eefc"/>
        <xdr:cNvPicPr>
          <a:picLocks xmlns:a="http://schemas.openxmlformats.org/drawingml/2006/main" noChangeAspect="1"/>
        </xdr:cNvPicPr>
      </xdr:nvPicPr>
      <xdr:blipFill>
        <a:blip xmlns:r="http://schemas.openxmlformats.org/officeDocument/2006/relationships" xmlns:a="http://schemas.openxmlformats.org/drawingml/2006/main" r:embed="R0e9fff79102340e8"/>
        <a:stretch xmlns:a="http://schemas.openxmlformats.org/drawingml/2006/main">
          <a:fillRect/>
        </a:stretch>
      </xdr:blipFill>
      <xdr:spPr>
        <a:prstGeom xmlns:a="http://schemas.openxmlformats.org/drawingml/2006/main" prst="rect"/>
      </xdr:spPr>
    </xdr:pic>
    <xdr:clientData/>
  </xdr:oneCellAnchor>
  <xdr:oneCellAnchor>
    <xdr:from>
      <xdr:col>4</xdr:col>
      <xdr:colOff>0</xdr:colOff>
      <xdr:row>30</xdr:row>
      <xdr:rowOff>0</xdr:rowOff>
    </xdr:from>
    <xdr:ext cx="2333625" cy="1809750"/>
    <xdr:pic>
      <xdr:nvPicPr>
        <xdr:cNvPr id="9" name="3eb2d835-326f-4a45-951f-22b66f5a91d8"/>
        <xdr:cNvPicPr>
          <a:picLocks xmlns:a="http://schemas.openxmlformats.org/drawingml/2006/main" noChangeAspect="1"/>
        </xdr:cNvPicPr>
      </xdr:nvPicPr>
      <xdr:blipFill>
        <a:blip xmlns:r="http://schemas.openxmlformats.org/officeDocument/2006/relationships" xmlns:a="http://schemas.openxmlformats.org/drawingml/2006/main" r:embed="R1c32660de22244be"/>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43</xdr:row>
      <xdr:rowOff>0</xdr:rowOff>
    </xdr:from>
    <xdr:ext cx="2333625" cy="1809750"/>
    <xdr:pic>
      <xdr:nvPicPr>
        <xdr:cNvPr id="10" name="e84268cf-7b5c-4f24-80c7-19c313984720"/>
        <xdr:cNvPicPr>
          <a:picLocks xmlns:a="http://schemas.openxmlformats.org/drawingml/2006/main" noChangeAspect="1"/>
        </xdr:cNvPicPr>
      </xdr:nvPicPr>
      <xdr:blipFill>
        <a:blip xmlns:r="http://schemas.openxmlformats.org/officeDocument/2006/relationships" xmlns:a="http://schemas.openxmlformats.org/drawingml/2006/main" r:embed="Rabef248c63fd4c3f"/>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43</xdr:row>
      <xdr:rowOff>0</xdr:rowOff>
    </xdr:from>
    <xdr:ext cx="2333625" cy="1809750"/>
    <xdr:pic>
      <xdr:nvPicPr>
        <xdr:cNvPr id="11" name="32a03535-4485-4296-a516-8190d9315295"/>
        <xdr:cNvPicPr>
          <a:picLocks xmlns:a="http://schemas.openxmlformats.org/drawingml/2006/main" noChangeAspect="1"/>
        </xdr:cNvPicPr>
      </xdr:nvPicPr>
      <xdr:blipFill>
        <a:blip xmlns:r="http://schemas.openxmlformats.org/officeDocument/2006/relationships" xmlns:a="http://schemas.openxmlformats.org/drawingml/2006/main" r:embed="R3dec1176d8b5473d"/>
        <a:stretch xmlns:a="http://schemas.openxmlformats.org/drawingml/2006/main">
          <a:fillRect/>
        </a:stretch>
      </xdr:blipFill>
      <xdr:spPr>
        <a:prstGeom xmlns:a="http://schemas.openxmlformats.org/drawingml/2006/main" prst="rect"/>
      </xdr:spPr>
    </xdr:pic>
    <xdr:clientData/>
  </xdr:oneCellAnchor>
  <xdr:oneCellAnchor>
    <xdr:from>
      <xdr:col>4</xdr:col>
      <xdr:colOff>0</xdr:colOff>
      <xdr:row>43</xdr:row>
      <xdr:rowOff>0</xdr:rowOff>
    </xdr:from>
    <xdr:ext cx="2333625" cy="1809750"/>
    <xdr:pic>
      <xdr:nvPicPr>
        <xdr:cNvPr id="12" name="5475ec6d-a94e-476b-a43e-aab0ba7284a0"/>
        <xdr:cNvPicPr>
          <a:picLocks xmlns:a="http://schemas.openxmlformats.org/drawingml/2006/main" noChangeAspect="1"/>
        </xdr:cNvPicPr>
      </xdr:nvPicPr>
      <xdr:blipFill>
        <a:blip xmlns:r="http://schemas.openxmlformats.org/officeDocument/2006/relationships" xmlns:a="http://schemas.openxmlformats.org/drawingml/2006/main" r:embed="R71706e1d61cf4963"/>
        <a:stretch xmlns:a="http://schemas.openxmlformats.org/drawingml/2006/main">
          <a:fillRect/>
        </a:stretch>
      </xdr:blipFill>
      <xdr:spPr>
        <a:prstGeom xmlns:a="http://schemas.openxmlformats.org/drawingml/2006/main" prst="rect"/>
      </xdr:spPr>
    </xdr:pic>
    <xdr:clientData/>
  </xdr:oneCellAnchor>
</xdr:wsDr>
</file>

<file path=xl/tables/table1.xml><?xml version="1.0" encoding="utf-8"?>
<x:table xmlns:x="http://schemas.openxmlformats.org/spreadsheetml/2006/main" id="1" name="ScenarioScores" displayName="ScenarioScores" ref="A6:M23" headerRowCount="1" totalsRowCount="0" totalsRowShown="0">
  <x:tableColumns count="13">
    <x:tableColumn id="1" name="厂商"/>
    <x:tableColumn id="2" name="型号"/>
    <x:tableColumn id="3" name="参与移动排名"/>
    <x:tableColumn id="4" name="蟹行硬门槛"/>
    <x:tableColumn id="5" name="底盘移动"/>
    <x:tableColumn id="6" name="工作空间"/>
    <x:tableColumn id="7" name="力控柔顺"/>
    <x:tableColumn id="8" name="精度"/>
    <x:tableColumn id="9" name="接口开放"/>
    <x:tableColumn id="10" name="工业成熟"/>
    <x:tableColumn id="11" name="综合分"/>
    <x:tableColumn id="12" name="建议"/>
    <x:tableColumn id="13" name="说明"/>
  </x:tableColumns>
  <x:tableStyleInfo name="TableStyleMedium2" showFirstColumn="0" showLastColumn="0" showRowStripes="1" showColumnStripes="0"/>
</x:table>
</file>

<file path=xl/tables/table2.xml><?xml version="1.0" encoding="utf-8"?>
<x:table xmlns:x="http://schemas.openxmlformats.org/spreadsheetml/2006/main" id="2" name="RobotMasterData" displayName="RobotMasterData" ref="A3:AK20" headerRowCount="1" totalsRowCount="0" totalsRowShown="0">
  <x:tableColumns count="37">
    <x:tableColumn id="1" name="model_id"/>
    <x:tableColumn id="2" name="vendor"/>
    <x:tableColumn id="3" name="model"/>
    <x:tableColumn id="4" name="category"/>
    <x:tableColumn id="5" name="product_stage"/>
    <x:tableColumn id="6" name="total_dof_excl_ee"/>
    <x:tableColumn id="7" name="arm_dof_each"/>
    <x:tableColumn id="8" name="torso_dof"/>
    <x:tableColumn id="9" name="head_dof"/>
    <x:tableColumn id="10" name="base_planar_dof"/>
    <x:tableColumn id="11" name="base_type"/>
    <x:tableColumn id="12" name="crab_supported"/>
    <x:tableColumn id="13" name="base_speed_mps"/>
    <x:tableColumn id="14" name="height_min_mm"/>
    <x:tableColumn id="15" name="height_max_mm"/>
    <x:tableColumn id="16" name="width_mm"/>
    <x:tableColumn id="17" name="length_mm"/>
    <x:tableColumn id="18" name="weight_kg"/>
    <x:tableColumn id="19" name="arm_reach_mm"/>
    <x:tableColumn id="20" name="bimanual_span_mm"/>
    <x:tableColumn id="21" name="payload_per_arm_rated_kg"/>
    <x:tableColumn id="22" name="payload_per_arm_peak_kg"/>
    <x:tableColumn id="23" name="bimanual_rated_kg"/>
    <x:tableColumn id="24" name="bimanual_peak_kg"/>
    <x:tableColumn id="25" name="vertical_workspace_m"/>
    <x:tableColumn id="26" name="repeatability_mm"/>
    <x:tableColumn id="27" name="absolute_accuracy_mm"/>
    <x:tableColumn id="28" name="force_control"/>
    <x:tableColumn id="29" name="force_resolution_nm"/>
    <x:tableColumn id="30" name="force_sample_hz"/>
    <x:tableColumn id="31" name="compute"/>
    <x:tableColumn id="32" name="runtime_h"/>
    <x:tableColumn id="33" name="ip_rating"/>
    <x:tableColumn id="34" name="end_effector"/>
    <x:tableColumn id="35" name="interfaces"/>
    <x:tableColumn id="36" name="evidence_level"/>
    <x:tableColumn id="37" name="notes"/>
  </x:tableColumns>
  <x:tableStyleInfo name="TableStyleMedium2" showFirstColumn="0" showLastColumn="0" showRowStripes="1" showColumnStripes="0"/>
</x:table>
</file>

<file path=xl/tables/table3.xml><?xml version="1.0" encoding="utf-8"?>
<x:table xmlns:x="http://schemas.openxmlformats.org/spreadsheetml/2006/main" id="3" name="SupplierQuestions" displayName="SupplierQuestions" ref="A3:J35" headerRowCount="1" totalsRowCount="0" totalsRowShown="0">
  <x:tableColumns count="10">
    <x:tableColumn id="1" name="question_id"/>
    <x:tableColumn id="2" name="vendor"/>
    <x:tableColumn id="3" name="model"/>
    <x:tableColumn id="4" name="priority"/>
    <x:tableColumn id="5" name="category"/>
    <x:tableColumn id="6" name="question"/>
    <x:tableColumn id="7" name="current_evidence"/>
    <x:tableColumn id="8" name="status"/>
    <x:tableColumn id="9" name="owner"/>
    <x:tableColumn id="10" name="due_date"/>
  </x:tableColumns>
  <x:tableStyleInfo name="TableStyleMedium2" showFirstColumn="0" showLastColumn="0" showRowStripes="1" showColumnStripes="0"/>
</x:table>
</file>

<file path=xl/tables/table4.xml><?xml version="1.0" encoding="utf-8"?>
<x:table xmlns:x="http://schemas.openxmlformats.org/spreadsheetml/2006/main" id="4" name="EvidenceSources" displayName="EvidenceSources" ref="A3:I37" headerRowCount="1" totalsRowCount="0" totalsRowShown="0">
  <x:tableColumns count="9">
    <x:tableColumn id="1" name="source_id"/>
    <x:tableColumn id="2" name="model_id"/>
    <x:tableColumn id="3" name="source_type"/>
    <x:tableColumn id="4" name="title"/>
    <x:tableColumn id="5" name="source_locator"/>
    <x:tableColumn id="6" name="document_date"/>
    <x:tableColumn id="7" name="accessed_date"/>
    <x:tableColumn id="8" name="confidence"/>
    <x:tableColumn id="9"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c34418df3938428d" /></Relationships>
</file>

<file path=xl/worksheets/_rels/sheet3.xml.rels>&#65279;<?xml version="1.0" encoding="utf-8"?><Relationships xmlns="http://schemas.openxmlformats.org/package/2006/relationships"><Relationship Type="http://schemas.openxmlformats.org/officeDocument/2006/relationships/table" Target="/xl/tables/table1.xml" Id="Rdbe4832f0df04260" /></Relationships>
</file>

<file path=xl/worksheets/_rels/sheet4.xml.rels>&#65279;<?xml version="1.0" encoding="utf-8"?><Relationships xmlns="http://schemas.openxmlformats.org/package/2006/relationships"><Relationship Type="http://schemas.openxmlformats.org/officeDocument/2006/relationships/table" Target="/xl/tables/table2.xml" Id="R47646d5dd2334ada" /></Relationships>
</file>

<file path=xl/worksheets/_rels/sheet5.xml.rels>&#65279;<?xml version="1.0" encoding="utf-8"?><Relationships xmlns="http://schemas.openxmlformats.org/package/2006/relationships"><Relationship Type="http://schemas.openxmlformats.org/officeDocument/2006/relationships/table" Target="/xl/tables/table3.xml" Id="Rfceb751f894a4c15" /></Relationships>
</file>

<file path=xl/worksheets/_rels/sheet6.xml.rels>&#65279;<?xml version="1.0" encoding="utf-8"?><Relationships xmlns="http://schemas.openxmlformats.org/package/2006/relationships"><Relationship Type="http://schemas.openxmlformats.org/officeDocument/2006/relationships/table" Target="/xl/tables/table4.xml" Id="R5b3be9ef54844195" /></Relationships>
</file>

<file path=xl/worksheets/sheet1.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12" hidden="0" customWidth="1"/>
    <x:col min="2" max="2" width="12" hidden="0" customWidth="1"/>
    <x:col min="3" max="3" width="25" hidden="0" customWidth="1"/>
    <x:col min="4" max="4" width="12" hidden="0" customWidth="1"/>
    <x:col min="5" max="5" width="12" hidden="0" customWidth="1"/>
    <x:col min="6" max="6" width="20" hidden="0" customWidth="1"/>
    <x:col min="7" max="7" width="54" hidden="0" customWidth="1"/>
  </x:cols>
  <x:sheetData>
    <x:row r="1" ht="30" customHeight="1">
      <x:c r="A1" s="5" t="str">
        <x:v>机器人本体决策摘要｜工厂布线 / 捋线场景</x:v>
      </x:c>
      <x:c r="B1" s="5"/>
      <x:c r="C1" s="5"/>
      <x:c r="D1" s="5"/>
      <x:c r="E1" s="5"/>
      <x:c r="F1" s="5"/>
      <x:c r="G1" s="5"/>
      <x:c r="H1" s="1"/>
      <x:c r="I1" s="1"/>
      <x:c r="J1" s="1"/>
      <x:c r="K1" s="1"/>
      <x:c r="L1" s="1"/>
      <x:c r="M1" s="1"/>
      <x:c r="N1" s="1"/>
      <x:c r="O1" s="1"/>
      <x:c r="P1" s="1"/>
      <x:c r="Q1" s="1"/>
      <x:c r="R1" s="1"/>
      <x:c r="S1" s="1"/>
      <x:c r="T1" s="1"/>
      <x:c r="U1" s="1"/>
      <x:c r="V1" s="1"/>
      <x:c r="W1" s="1"/>
      <x:c r="X1" s="1"/>
      <x:c r="Y1" s="1"/>
      <x:c r="Z1" s="1"/>
      <x:c r="AA1" s="1"/>
      <x:c r="AB1" s="1"/>
      <x:c r="AC1" s="1"/>
      <x:c r="AD1" s="1"/>
      <x:c r="AE1" s="1"/>
      <x:c r="AF1" s="1"/>
      <x:c r="AG1" s="1"/>
      <x:c r="AH1" s="1"/>
      <x:c r="AI1" s="1"/>
      <x:c r="AJ1" s="1"/>
      <x:c r="AK1" s="1"/>
      <x:c r="AL1" s="1"/>
      <x:c r="AM1" s="1"/>
      <x:c r="AN1" s="1"/>
      <x:c r="AO1" s="1"/>
      <x:c r="AP1" s="1"/>
      <x:c r="AQ1" s="1"/>
      <x:c r="AR1" s="1"/>
      <x:c r="AS1" s="1"/>
      <x:c r="AT1" s="1"/>
      <x:c r="AU1" s="1"/>
      <x:c r="AV1" s="1"/>
      <x:c r="AW1" s="1"/>
      <x:c r="AX1" s="1"/>
      <x:c r="AY1" s="1"/>
      <x:c r="AZ1" s="1"/>
    </x:row>
    <x:row r="3" ht="34" customHeight="1">
      <x:c r="A3" s="8" t="str">
        <x:v>硬门槛：底盘必须支持保持机身朝向的横移 / 蟹行。差速底盘不能用路径规划等价替代，会增加停顿、摆动和线束扰动。</x:v>
      </x:c>
      <x:c r="B3" s="8"/>
      <x:c r="C3" s="8"/>
      <x:c r="D3" s="8"/>
      <x:c r="E3" s="8"/>
      <x:c r="F3" s="8"/>
      <x:c r="G3" s="8"/>
    </x:row>
    <x:row r="5">
      <x:c r="A5" s="13" t="str">
        <x:v>当前优先级</x:v>
      </x:c>
      <x:c r="B5" s="13" t="str">
        <x:v>厂商</x:v>
      </x:c>
      <x:c r="C5" s="13" t="str">
        <x:v>型号</x:v>
      </x:c>
      <x:c r="D5" s="13" t="str">
        <x:v>综合分</x:v>
      </x:c>
      <x:c r="E5" s="13" t="str">
        <x:v>硬门槛</x:v>
      </x:c>
      <x:c r="F5" s="13" t="str">
        <x:v>建议</x:v>
      </x:c>
      <x:c r="G5" s="13" t="str">
        <x:v>主要判断</x:v>
      </x:c>
    </x:row>
    <x:row r="6" ht="32" customHeight="1">
      <x:c r="A6" s="15" t="n">
        <x:v>1</x:v>
      </x:c>
      <x:c r="B6" s="15" t="str">
        <x:v>智元</x:v>
      </x:c>
      <x:c r="C6" s="15" t="str">
        <x:v>AgiBot 精灵G2</x:v>
      </x:c>
      <x:c r="D6" s="16" t="n">
        <x:v>4.6</x:v>
      </x:c>
      <x:c r="E6" s="15" t="str">
        <x:v>通过</x:v>
      </x:c>
      <x:c r="F6" s="15" t="str">
        <x:v>优先 POC</x:v>
      </x:c>
      <x:c r="G6" s="15" t="str">
        <x:v>四舵轮、5自由度躯干、全关节力矩传感；需验证横移后整链路精度</x:v>
      </x:c>
    </x:row>
    <x:row r="7" ht="32" customHeight="1">
      <x:c r="A7" s="15" t="n">
        <x:v>2</x:v>
      </x:c>
      <x:c r="B7" s="15" t="str">
        <x:v>星海图</x:v>
      </x:c>
      <x:c r="C7" s="15" t="str">
        <x:v>Galaxea R1 Pro 2026</x:v>
      </x:c>
      <x:c r="D7" s="16" t="n">
        <x:v>4.1</x:v>
      </x:c>
      <x:c r="E7" s="15" t="str">
        <x:v>通过</x:v>
      </x:c>
      <x:c r="F7" s="15" t="str">
        <x:v>条件 POC</x:v>
      </x:c>
      <x:c r="G7" s="15" t="str">
        <x:v>三舵轮全向和工作空间契合；重复精度0.5mm且机械臂无制动器是主要风险</x:v>
      </x:c>
    </x:row>
    <x:row r="8" ht="32" customHeight="1">
      <x:c r="A8" s="15" t="n">
        <x:v>3</x:v>
      </x:c>
      <x:c r="B8" s="15" t="str">
        <x:v>Boston Dynamics</x:v>
      </x:c>
      <x:c r="C8" s="15" t="str">
        <x:v>Atlas</x:v>
      </x:c>
      <x:c r="D8" s="16" t="n">
        <x:v>3.85</x:v>
      </x:c>
      <x:c r="E8" s="15" t="str">
        <x:v>待实测</x:v>
      </x:c>
      <x:c r="F8" s="15" t="str">
        <x:v>条件 POC</x:v>
      </x:c>
      <x:c r="G8" s="15" t="str">
        <x:v>工业可靠性负载和工作空间领先；但双足连续贴线横移、采购与集成开放性待确认</x:v>
      </x:c>
    </x:row>
    <x:row r="9" ht="32" customHeight="1">
      <x:c r="A9" s="15" t="n">
        <x:v>4</x:v>
      </x:c>
      <x:c r="B9" s="15" t="str">
        <x:v>Figure AI</x:v>
      </x:c>
      <x:c r="C9" s="15" t="str">
        <x:v>Figure 03</x:v>
      </x:c>
      <x:c r="D9" s="16" t="n">
        <x:v>3.8000000000000003</x:v>
      </x:c>
      <x:c r="E9" s="15" t="str">
        <x:v>待实测</x:v>
      </x:c>
      <x:c r="F9" s="15" t="str">
        <x:v>条件 POC</x:v>
      </x:c>
      <x:c r="G9" s="15" t="str">
        <x:v>触觉手和量产设计突出；无公开SDK且双足横移节拍与精度未披露</x:v>
      </x:c>
    </x:row>
    <x:row r="10" ht="32" customHeight="1">
      <x:c r="A10" s="15" t="n">
        <x:v>5</x:v>
      </x:c>
      <x:c r="B10" s="15" t="str">
        <x:v>智动力</x:v>
      </x:c>
      <x:c r="C10" s="15" t="str">
        <x:v>D1 擎骏系列</x:v>
      </x:c>
      <x:c r="D10" s="16" t="n">
        <x:v>3.8</x:v>
      </x:c>
      <x:c r="E10" s="15" t="str">
        <x:v>通过待实测</x:v>
      </x:c>
      <x:c r="F10" s="15" t="str">
        <x:v>条件 POC</x:v>
      </x:c>
      <x:c r="G10" s="15" t="str">
        <x:v>四轮四转明确支持蟹行；整机重且精度和力控证据不足</x:v>
      </x:c>
    </x:row>
    <x:row r="11" ht="32" customHeight="1">
      <x:c r="A11" s="15" t="n">
        <x:v>6</x:v>
      </x:c>
      <x:c r="B11" s="15" t="str">
        <x:v>它石智航</x:v>
      </x:c>
      <x:c r="C11" s="15" t="str">
        <x:v>TARS A1</x:v>
      </x:c>
      <x:c r="D11" s="16" t="n">
        <x:v>3.6500000000000004</x:v>
      </x:c>
      <x:c r="E11" s="15" t="str">
        <x:v>待确认</x:v>
      </x:c>
      <x:c r="F11" s="15" t="str">
        <x:v>条件 POC</x:v>
      </x:c>
      <x:c r="G11" s="15" t="str">
        <x:v>线束任务证据最强；底盘轮型接口参数和规模部署验收数据未公开且内部反馈仍有差距</x:v>
      </x:c>
    </x:row>
    <x:row r="12" ht="32" customHeight="1">
      <x:c r="A12" s="15" t="n">
        <x:v>7</x:v>
      </x:c>
      <x:c r="B12" s="15" t="str">
        <x:v>逐际动力</x:v>
      </x:c>
      <x:c r="C12" s="15" t="str">
        <x:v>LimX Oli EDU</x:v>
      </x:c>
      <x:c r="D12" s="16" t="n">
        <x:v>3.3499999999999996</x:v>
      </x:c>
      <x:c r="E12" s="15" t="str">
        <x:v>待实测</x:v>
      </x:c>
      <x:c r="F12" s="15" t="str">
        <x:v>补齐资料后再评估</x:v>
      </x:c>
      <x:c r="G12" s="15" t="str">
        <x:v>开放开发工具链和全尺寸工作空间较好；双足贴线横移、精度和工业认证需验证</x:v>
      </x:c>
    </x:row>
    <x:row r="13" ht="32" customHeight="1">
      <x:c r="A13" s="15" t="n">
        <x:v>8</x:v>
      </x:c>
      <x:c r="B13" s="15" t="str">
        <x:v>星尘</x:v>
      </x:c>
      <x:c r="C13" s="15" t="str">
        <x:v>Astribot T1</x:v>
      </x:c>
      <x:c r="D13" s="16" t="n">
        <x:v>3.2</x:v>
      </x:c>
      <x:c r="E13" s="15" t="str">
        <x:v>待确认</x:v>
      </x:c>
      <x:c r="F13" s="15" t="str">
        <x:v>补齐资料后再评估</x:v>
      </x:c>
      <x:c r="G13" s="15" t="str">
        <x:v>紧凑轮式底盘但轮系和蟹行能力未公开；绳驱柔性和量产进展较好，精度与SDK量化不足</x:v>
      </x:c>
    </x:row>
    <x:row r="14" ht="32" customHeight="1">
      <x:c r="A14" s="15" t="n">
        <x:v>9</x:v>
      </x:c>
      <x:c r="B14" s="15" t="str">
        <x:v>逐际动力</x:v>
      </x:c>
      <x:c r="C14" s="15" t="str">
        <x:v>TRON 2 双臂形态</x:v>
      </x:c>
      <x:c r="D14" s="16" t="n">
        <x:v>3.2</x:v>
      </x:c>
      <x:c r="E14" s="15" t="str">
        <x:v>待确认</x:v>
      </x:c>
      <x:c r="F14" s="15" t="str">
        <x:v>补齐资料后再评估</x:v>
      </x:c>
      <x:c r="G14" s="15" t="str">
        <x:v>接口开放且多形态；四向移动是否包含保持朝向纯横移需要供应商确认</x:v>
      </x:c>
    </x:row>
    <x:row r="15" ht="32" customHeight="1">
      <x:c r="A15" s="15" t="n">
        <x:v>10</x:v>
      </x:c>
      <x:c r="B15" s="15" t="str">
        <x:v>Tesla</x:v>
      </x:c>
      <x:c r="C15" s="15" t="str">
        <x:v>Optimus</x:v>
      </x:c>
      <x:c r="D15" s="16" t="n">
        <x:v>2.8000000000000003</x:v>
      </x:c>
      <x:c r="E15" s="15" t="str">
        <x:v>待确认</x:v>
      </x:c>
      <x:c r="F15" s="15" t="str">
        <x:v>补齐资料后再评估</x:v>
      </x:c>
      <x:c r="G15" s="15" t="str">
        <x:v>官方工程参数和外部集成方式严重不足；暂不具备正式采购比较条件</x:v>
      </x:c>
    </x:row>
    <x:row r="16" ht="32" customHeight="1">
      <x:c r="A16" s="15" t="n">
        <x:v>11</x:v>
      </x:c>
      <x:c r="B16" s="15" t="str">
        <x:v>宇树</x:v>
      </x:c>
      <x:c r="C16" s="15" t="str">
        <x:v>Unitree G1-D 旗舰版</x:v>
      </x:c>
      <x:c r="D16" s="16" t="n">
        <x:v>2.3</x:v>
      </x:c>
      <x:c r="E16" s="15" t="str">
        <x:v>不通过</x:v>
      </x:c>
      <x:c r="F16" s="15" t="str">
        <x:v>不进入布线 POC</x:v>
      </x:c>
      <x:c r="G16" s="15" t="str">
        <x:v>差速底盘不能纯横移；更偏数据采集和开发平台</x:v>
      </x:c>
    </x:row>
    <x:row r="17" ht="32" customHeight="1">
      <x:c r="A17" s="15" t="n">
        <x:v>12</x:v>
      </x:c>
      <x:c r="B17" s="15" t="str">
        <x:v>智动力</x:v>
      </x:c>
      <x:c r="C17" s="15" t="str">
        <x:v>JUNO2-SD 龙骏系列</x:v>
      </x:c>
      <x:c r="D17" s="16" t="n">
        <x:v>2.15</x:v>
      </x:c>
      <x:c r="E17" s="15" t="str">
        <x:v>不通过</x:v>
      </x:c>
      <x:c r="F17" s="15" t="str">
        <x:v>不进入布线 POC</x:v>
      </x:c>
      <x:c r="G17" s="15" t="str">
        <x:v>差速底盘为硬伤；重复定位和力控指标未公开</x:v>
      </x:c>
    </x:row>
    <x:row r="18" ht="32" customHeight="1">
      <x:c r="A18" s="15" t="n">
        <x:v>13</x:v>
      </x:c>
      <x:c r="B18" s="15" t="str">
        <x:v>宇树</x:v>
      </x:c>
      <x:c r="C18" s="15" t="str">
        <x:v>Unitree G1-D 通用版</x:v>
      </x:c>
      <x:c r="D18" s="16" t="n">
        <x:v>2.05</x:v>
      </x:c>
      <x:c r="E18" s="15" t="str">
        <x:v>不通过</x:v>
      </x:c>
      <x:c r="F18" s="15" t="str">
        <x:v>不进入布线 POC</x:v>
      </x:c>
      <x:c r="G18" s="15" t="str">
        <x:v>官方参数未提供主动移动底盘</x:v>
      </x:c>
    </x:row>
    <x:row r="19" ht="32" customHeight="1">
      <x:c r="A19" s="15" t="n">
        <x:v>14</x:v>
      </x:c>
      <x:c r="B19" s="15" t="str">
        <x:v>智动力</x:v>
      </x:c>
      <x:c r="C19" s="15" t="str">
        <x:v>JUNO1-P 智骏系列</x:v>
      </x:c>
      <x:c r="D19" s="16" t="n">
        <x:v>2</x:v>
      </x:c>
      <x:c r="E19" s="15" t="str">
        <x:v>不通过</x:v>
      </x:c>
      <x:c r="F19" s="15" t="str">
        <x:v>不进入布线 POC</x:v>
      </x:c>
      <x:c r="G19" s="15" t="str">
        <x:v>差速底盘为硬伤；负载和升降能力低于JUNO2</x:v>
      </x:c>
    </x:row>
    <x:row r="20" ht="32" customHeight="1">
      <x:c r="A20" s="15" t="n">
        <x:v>15</x:v>
      </x:c>
      <x:c r="B20" s="15" t="str">
        <x:v>智动力</x:v>
      </x:c>
      <x:c r="C20" s="15" t="str">
        <x:v>L1 灵骏系列</x:v>
      </x:c>
      <x:c r="D20" s="16" t="n">
        <x:v>1.85</x:v>
      </x:c>
      <x:c r="E20" s="15" t="str">
        <x:v>不通过</x:v>
      </x:c>
      <x:c r="F20" s="15" t="str">
        <x:v>不进入布线 POC</x:v>
      </x:c>
      <x:c r="G20" s="15" t="str">
        <x:v>差速底盘且负载、臂展和躯干能力较弱</x:v>
      </x:c>
    </x:row>
    <x:row r="22" ht="32" customHeight="1">
      <x:c r="A22" s="19" t="str">
        <x:v>说明：综合分不能越过横移硬门槛和供货资格。双足侧步不等同工业蟹行；Atlas、Figure、Optimus 的采购与SDK开放性需单独判断。</x:v>
      </x:c>
      <x:c r="B22" s="19"/>
      <x:c r="C22" s="19"/>
      <x:c r="D22" s="19"/>
      <x:c r="E22" s="19"/>
      <x:c r="F22" s="19"/>
      <x:c r="G22" s="19"/>
    </x:row>
  </x:sheetData>
  <x:mergeCells>
    <x:mergeCell ref="A1:G1"/>
    <x:mergeCell ref="A3:G3"/>
    <x:mergeCell ref="A22:G22"/>
  </x:mergeCells>
  <x:conditionalFormatting sqref="D6:D20">
    <x:cfRule type="colorScale" priority="1">
      <x:colorScale>
        <x:cfvo type="min"/>
        <x:cfvo type="percentile" val="50"/>
        <x:cfvo type="max"/>
        <x:color rgb="FFFCE4D6"/>
        <x:color rgb="FFFFF2CC"/>
        <x:color rgb="FFE2F0D9"/>
      </x:colorScale>
    </x:cfRule>
  </x:conditionalFormatting>
  <x:conditionalFormatting sqref="E6:E20">
    <x:cfRule type="cellIs" dxfId="0" priority="2">
      <x:formula>"不通过"</x:formula>
    </x:cfRule>
    <x:cfRule type="cellIs" dxfId="1" priority="3">
      <x:formula>"通过"</x:formula>
    </x:cfRule>
  </x:conditionalFormatting>
  <x:pageMargins left="0.7" right="0.7" top="0.75" bottom="0.75" header="0.3" footer="0.3"/>
</x:worksheet>
</file>

<file path=xl/worksheets/sheet2.xml><?xml version="1.0" encoding="utf-8"?>
<x:worksheet xmlns:x="http://schemas.openxmlformats.org/spreadsheetml/2006/main">
  <x:sheetViews>
    <x:sheetView workbookViewId="0">
      <x:pane ySplit="2" topLeftCell="A3" activePane="bottomLeft" state="frozen"/>
    </x:sheetView>
  </x:sheetViews>
  <x:sheetFormatPr defaultRowHeight="15"/>
  <x:cols>
    <x:col min="1" max="1" width="34" hidden="0" customWidth="1"/>
    <x:col min="3" max="3" width="34" hidden="0" customWidth="1"/>
    <x:col min="5" max="5" width="34" hidden="0" customWidth="1"/>
    <x:col min="2" max="2" width="3" hidden="0" customWidth="1"/>
    <x:col min="4" max="4" width="3" hidden="0" customWidth="1"/>
    <x:col min="6" max="6" width="3" hidden="0" customWidth="1"/>
  </x:cols>
  <x:sheetData>
    <x:row r="1">
      <x:c r="A1" s="5" t="str">
        <x:v>当前评比型号图示｜仅用于型号识别，参数与配置以来源证据为准</x:v>
      </x:c>
      <x:c r="B1" s="5"/>
      <x:c r="C1" s="5"/>
      <x:c r="D1" s="5"/>
      <x:c r="E1" s="5"/>
      <x:c r="F1" s="5"/>
      <x:c r="G1" s="1"/>
      <x:c r="H1" s="1"/>
      <x:c r="I1" s="1"/>
      <x:c r="J1" s="1"/>
      <x:c r="K1" s="1"/>
      <x:c r="L1" s="1"/>
      <x:c r="M1" s="1"/>
      <x:c r="N1" s="1"/>
      <x:c r="O1" s="1"/>
      <x:c r="P1" s="1"/>
      <x:c r="Q1" s="1"/>
      <x:c r="R1" s="1"/>
      <x:c r="S1" s="1"/>
      <x:c r="T1" s="1"/>
      <x:c r="U1" s="1"/>
      <x:c r="V1" s="1"/>
      <x:c r="W1" s="1"/>
      <x:c r="X1" s="1"/>
      <x:c r="Y1" s="1"/>
      <x:c r="Z1" s="1"/>
      <x:c r="AA1" s="1"/>
      <x:c r="AB1" s="1"/>
      <x:c r="AC1" s="1"/>
      <x:c r="AD1" s="1"/>
      <x:c r="AE1" s="1"/>
      <x:c r="AF1" s="1"/>
      <x:c r="AG1" s="1"/>
      <x:c r="AH1" s="1"/>
      <x:c r="AI1" s="1"/>
      <x:c r="AJ1" s="1"/>
      <x:c r="AK1" s="1"/>
      <x:c r="AL1" s="1"/>
      <x:c r="AM1" s="1"/>
      <x:c r="AN1" s="1"/>
      <x:c r="AO1" s="1"/>
      <x:c r="AP1" s="1"/>
      <x:c r="AQ1" s="1"/>
      <x:c r="AR1" s="1"/>
      <x:c r="AS1" s="1"/>
      <x:c r="AT1" s="1"/>
      <x:c r="AU1" s="1"/>
      <x:c r="AV1" s="1"/>
      <x:c r="AW1" s="1"/>
      <x:c r="AX1" s="1"/>
      <x:c r="AY1" s="1"/>
      <x:c r="AZ1" s="1"/>
    </x:row>
    <x:row r="2">
      <x:c r="A2" s="21" t="str">
        <x:v>图片来源和本地文件映射见 data/images.csv；图片版权归原厂商或原发布方。</x:v>
      </x:c>
      <x:c r="B2" s="21" t="str"/>
      <x:c r="C2" s="21" t="str"/>
      <x:c r="D2" s="21" t="str"/>
      <x:c r="E2" s="21" t="str"/>
      <x:c r="F2" s="21" t="str"/>
    </x:row>
    <x:row r="3" ht="18" customHeight="1"/>
    <x:row r="4" ht="18" customHeight="1">
      <x:c r="A4" s="25" t="str">
        <x:v>AgiBot 精灵G2</x:v>
      </x:c>
      <x:c r="C4" s="25" t="str">
        <x:v>Astribot T1</x:v>
      </x:c>
      <x:c r="E4" s="25" t="str">
        <x:v>D1 擎骏系列</x:v>
      </x:c>
    </x:row>
    <x:row r="5" ht="18" customHeight="1"/>
    <x:row r="6" ht="18" customHeight="1"/>
    <x:row r="7" ht="18" customHeight="1"/>
    <x:row r="8" ht="18" customHeight="1"/>
    <x:row r="9" ht="18" customHeight="1"/>
    <x:row r="10" ht="18" customHeight="1"/>
    <x:row r="11" ht="18" customHeight="1"/>
    <x:row r="12" ht="18" customHeight="1"/>
    <x:row r="13" ht="18" customHeight="1"/>
    <x:row r="14" ht="18" customHeight="1"/>
    <x:row r="15" ht="18" customHeight="1">
      <x:c r="A15" s="27" t="str">
        <x:v>官方网站</x:v>
      </x:c>
      <x:c r="C15" s="27" t="str">
        <x:v>官方网站</x:v>
      </x:c>
      <x:c r="E15" s="27" t="str">
        <x:v>供应商PDF</x:v>
      </x:c>
    </x:row>
    <x:row r="16" ht="18" customHeight="1"/>
    <x:row r="17" ht="18" customHeight="1">
      <x:c r="A17" s="25" t="str">
        <x:v>JUNO2-SD 龙骏系列</x:v>
      </x:c>
      <x:c r="C17" s="25" t="str">
        <x:v>Unitree G1-D 旗舰版</x:v>
      </x:c>
      <x:c r="E17" s="25" t="str">
        <x:v>Atlas</x:v>
      </x:c>
    </x:row>
    <x:row r="18" ht="18" customHeight="1"/>
    <x:row r="19" ht="18" customHeight="1"/>
    <x:row r="20" ht="18" customHeight="1"/>
    <x:row r="21" ht="18" customHeight="1"/>
    <x:row r="22" ht="18" customHeight="1"/>
    <x:row r="23" ht="18" customHeight="1"/>
    <x:row r="24" ht="18" customHeight="1"/>
    <x:row r="25" ht="18" customHeight="1"/>
    <x:row r="26" ht="18" customHeight="1"/>
    <x:row r="27" ht="18" customHeight="1"/>
    <x:row r="28" ht="18" customHeight="1">
      <x:c r="A28" s="27" t="str">
        <x:v>供应商PDF</x:v>
      </x:c>
      <x:c r="C28" s="27" t="str">
        <x:v>官方网站</x:v>
      </x:c>
      <x:c r="E28" s="27" t="str">
        <x:v>官方网站</x:v>
      </x:c>
    </x:row>
    <x:row r="29" ht="18" customHeight="1"/>
    <x:row r="30" ht="18" customHeight="1">
      <x:c r="A30" s="25" t="str">
        <x:v>Figure 03</x:v>
      </x:c>
      <x:c r="C30" s="25" t="str">
        <x:v>Optimus</x:v>
      </x:c>
      <x:c r="E30" s="25" t="str">
        <x:v>LimX Oli EDU</x:v>
      </x:c>
    </x:row>
    <x:row r="31" ht="18" customHeight="1"/>
    <x:row r="32" ht="18" customHeight="1"/>
    <x:row r="33" ht="18" customHeight="1"/>
    <x:row r="34" ht="18" customHeight="1"/>
    <x:row r="35" ht="18" customHeight="1"/>
    <x:row r="36" ht="18" customHeight="1"/>
    <x:row r="37" ht="18" customHeight="1"/>
    <x:row r="38" ht="18" customHeight="1"/>
    <x:row r="39" ht="18" customHeight="1"/>
    <x:row r="40" ht="18" customHeight="1"/>
    <x:row r="41" ht="18" customHeight="1">
      <x:c r="A41" s="27" t="str">
        <x:v>官方网站</x:v>
      </x:c>
      <x:c r="C41" s="27" t="str">
        <x:v>第三方型号图库</x:v>
      </x:c>
      <x:c r="E41" s="27" t="str">
        <x:v>经销商产品图</x:v>
      </x:c>
    </x:row>
    <x:row r="42" ht="18" customHeight="1"/>
    <x:row r="43" ht="18" customHeight="1">
      <x:c r="A43" s="25" t="str">
        <x:v>TRON 2 双臂形态</x:v>
      </x:c>
      <x:c r="C43" s="25" t="str">
        <x:v>Galaxea R1 Pro 2026</x:v>
      </x:c>
      <x:c r="E43" s="25" t="str">
        <x:v>TARS A1</x:v>
      </x:c>
    </x:row>
    <x:row r="44" ht="18" customHeight="1"/>
    <x:row r="45" ht="18" customHeight="1"/>
    <x:row r="46" ht="18" customHeight="1"/>
    <x:row r="47" ht="18" customHeight="1"/>
    <x:row r="48" ht="18" customHeight="1"/>
    <x:row r="49" ht="18" customHeight="1"/>
    <x:row r="50" ht="18" customHeight="1"/>
    <x:row r="51" ht="18" customHeight="1"/>
    <x:row r="52" ht="18" customHeight="1"/>
    <x:row r="53" ht="18" customHeight="1"/>
    <x:row r="54" ht="18" customHeight="1">
      <x:c r="A54" s="27" t="str">
        <x:v>第三方型号图库</x:v>
      </x:c>
      <x:c r="C54" s="27" t="str">
        <x:v>官方网站</x:v>
      </x:c>
      <x:c r="E54" s="27" t="str">
        <x:v>政府公开信息</x:v>
      </x:c>
    </x:row>
    <x:row r="55" ht="18" customHeight="1"/>
  </x:sheetData>
  <x:mergeCells>
    <x:mergeCell ref="A1:F1"/>
    <x:mergeCell ref="A2:F2"/>
  </x:mergeCells>
  <x:pageMargins left="0.7" right="0.7" top="0.75" bottom="0.75" header="0.3" footer="0.3"/>
  <x:drawing xmlns:r="http://schemas.openxmlformats.org/officeDocument/2006/relationships" r:id="Rc34418df3938428d"/>
</x:worksheet>
</file>

<file path=xl/worksheets/sheet3.xml><?xml version="1.0" encoding="utf-8"?>
<x:worksheet xmlns:x="http://schemas.openxmlformats.org/spreadsheetml/2006/main">
  <x:sheetViews>
    <x:sheetView workbookViewId="0">
      <x:pane ySplit="6" topLeftCell="A7" activePane="bottomLeft" state="frozen"/>
    </x:sheetView>
  </x:sheetViews>
  <x:sheetFormatPr defaultRowHeight="15"/>
  <x:cols>
    <x:col min="1" max="1" width="11" hidden="0" customWidth="1"/>
    <x:col min="2" max="2" width="26" hidden="0" customWidth="1"/>
    <x:col min="3" max="3" width="13" hidden="0" customWidth="1"/>
    <x:col min="4" max="4" width="13" hidden="0" customWidth="1"/>
    <x:col min="5" max="5" width="11" hidden="0" customWidth="1"/>
    <x:col min="6" max="6" width="11" hidden="0" customWidth="1"/>
    <x:col min="7" max="7" width="11" hidden="0" customWidth="1"/>
    <x:col min="8" max="8" width="11" hidden="0" customWidth="1"/>
    <x:col min="9" max="9" width="11" hidden="0" customWidth="1"/>
    <x:col min="10" max="10" width="11" hidden="0" customWidth="1"/>
    <x:col min="11" max="11" width="10" hidden="0" customWidth="1"/>
    <x:col min="12" max="12" width="22" hidden="0" customWidth="1"/>
    <x:col min="13" max="13" width="54" hidden="0" customWidth="1"/>
  </x:cols>
  <x:sheetData>
    <x:row r="1">
      <x:c r="A1" s="5" t="str">
        <x:v>场景适配评分｜0=不具备，5=领先；综合分由权重自动计算</x:v>
      </x:c>
      <x:c r="B1" s="5"/>
      <x:c r="C1" s="5"/>
      <x:c r="D1" s="5"/>
      <x:c r="E1" s="5"/>
      <x:c r="F1" s="5"/>
      <x:c r="G1" s="5"/>
      <x:c r="H1" s="5"/>
      <x:c r="I1" s="5"/>
      <x:c r="J1" s="5"/>
      <x:c r="K1" s="5"/>
      <x:c r="L1" s="5"/>
      <x:c r="M1" s="5"/>
      <x:c r="N1" s="1"/>
      <x:c r="O1" s="1"/>
      <x:c r="P1" s="1"/>
      <x:c r="Q1" s="1"/>
      <x:c r="R1" s="1"/>
      <x:c r="S1" s="1"/>
      <x:c r="T1" s="1"/>
      <x:c r="U1" s="1"/>
      <x:c r="V1" s="1"/>
      <x:c r="W1" s="1"/>
      <x:c r="X1" s="1"/>
      <x:c r="Y1" s="1"/>
      <x:c r="Z1" s="1"/>
      <x:c r="AA1" s="1"/>
      <x:c r="AB1" s="1"/>
      <x:c r="AC1" s="1"/>
      <x:c r="AD1" s="1"/>
      <x:c r="AE1" s="1"/>
      <x:c r="AF1" s="1"/>
      <x:c r="AG1" s="1"/>
      <x:c r="AH1" s="1"/>
      <x:c r="AI1" s="1"/>
      <x:c r="AJ1" s="1"/>
      <x:c r="AK1" s="1"/>
      <x:c r="AL1" s="1"/>
      <x:c r="AM1" s="1"/>
      <x:c r="AN1" s="1"/>
      <x:c r="AO1" s="1"/>
      <x:c r="AP1" s="1"/>
      <x:c r="AQ1" s="1"/>
      <x:c r="AR1" s="1"/>
      <x:c r="AS1" s="1"/>
      <x:c r="AT1" s="1"/>
      <x:c r="AU1" s="1"/>
      <x:c r="AV1" s="1"/>
      <x:c r="AW1" s="1"/>
      <x:c r="AX1" s="1"/>
      <x:c r="AY1" s="1"/>
      <x:c r="AZ1" s="1"/>
    </x:row>
    <x:row r="3">
      <x:c r="A3" s="31" t="str">
        <x:v>评分维度</x:v>
      </x:c>
      <x:c r="B3" s="31" t="str">
        <x:v>底盘全向与贴线能力</x:v>
      </x:c>
      <x:c r="C3" s="31" t="str">
        <x:v>双臂与躯干工作空间</x:v>
      </x:c>
      <x:c r="D3" s="31" t="str">
        <x:v>力控与柔顺能力</x:v>
      </x:c>
      <x:c r="E3" s="31" t="str">
        <x:v>定位与视觉闭环</x:v>
      </x:c>
      <x:c r="F3" s="31" t="str">
        <x:v>SDK与末端接口成熟度</x:v>
      </x:c>
      <x:c r="G3" s="31" t="str">
        <x:v>工业可靠性与维护</x:v>
      </x:c>
    </x:row>
    <x:row r="4">
      <x:c r="A4" s="33" t="str">
        <x:v>权重</x:v>
      </x:c>
      <x:c r="B4" s="34" t="n">
        <x:v>0.25</x:v>
      </x:c>
      <x:c r="C4" s="34" t="n">
        <x:v>0.15</x:v>
      </x:c>
      <x:c r="D4" s="34" t="n">
        <x:v>0.2</x:v>
      </x:c>
      <x:c r="E4" s="34" t="n">
        <x:v>0.15</x:v>
      </x:c>
      <x:c r="F4" s="34" t="n">
        <x:v>0.1</x:v>
      </x:c>
      <x:c r="G4" s="34" t="n">
        <x:v>0.15</x:v>
      </x:c>
    </x:row>
    <x:row r="6">
      <x:c r="A6" s="13" t="str">
        <x:v>厂商</x:v>
      </x:c>
      <x:c r="B6" s="13" t="str">
        <x:v>型号</x:v>
      </x:c>
      <x:c r="C6" s="13" t="str">
        <x:v>参与移动排名</x:v>
      </x:c>
      <x:c r="D6" s="13" t="str">
        <x:v>蟹行硬门槛</x:v>
      </x:c>
      <x:c r="E6" s="13" t="str">
        <x:v>底盘移动</x:v>
      </x:c>
      <x:c r="F6" s="13" t="str">
        <x:v>工作空间</x:v>
      </x:c>
      <x:c r="G6" s="13" t="str">
        <x:v>力控柔顺</x:v>
      </x:c>
      <x:c r="H6" s="13" t="str">
        <x:v>精度</x:v>
      </x:c>
      <x:c r="I6" s="13" t="str">
        <x:v>接口开放</x:v>
      </x:c>
      <x:c r="J6" s="13" t="str">
        <x:v>工业成熟</x:v>
      </x:c>
      <x:c r="K6" s="13" t="str">
        <x:v>综合分</x:v>
      </x:c>
      <x:c r="L6" s="13" t="str">
        <x:v>建议</x:v>
      </x:c>
      <x:c r="M6" s="13" t="str">
        <x:v>说明</x:v>
      </x:c>
    </x:row>
    <x:row r="7" ht="30" customHeight="1">
      <x:c r="A7" s="15" t="str">
        <x:v>智元</x:v>
      </x:c>
      <x:c r="B7" s="15" t="str">
        <x:v>AgiBot 精灵G2</x:v>
      </x:c>
      <x:c r="C7" s="15" t="str">
        <x:v>是</x:v>
      </x:c>
      <x:c r="D7" s="15" t="str">
        <x:v>通过</x:v>
      </x:c>
      <x:c r="E7" s="15" t="n">
        <x:v>5</x:v>
      </x:c>
      <x:c r="F7" s="15" t="n">
        <x:v>5</x:v>
      </x:c>
      <x:c r="G7" s="15" t="n">
        <x:v>5</x:v>
      </x:c>
      <x:c r="H7" s="15" t="n">
        <x:v>4</x:v>
      </x:c>
      <x:c r="I7" s="15" t="n">
        <x:v>4</x:v>
      </x:c>
      <x:c r="J7" s="15" t="n">
        <x:v>4</x:v>
      </x:c>
      <x:c r="K7" s="16" t="n">
        <x:f>IF(C7&lt;&gt;"是","",SUMPRODUCT(E7:J7,$B$4:$G$4))</x:f>
        <x:v>4.6</x:v>
      </x:c>
      <x:c r="L7" s="15" t="str">
        <x:f>IF(C7&lt;&gt;"是","不参与移动本体排名",IF(D7="不通过","不进入布线POC",IF(K7&gt;=4.2,"优先POC",IF(K7&gt;=3.5,"条件POC","补齐资料后再评估"))))</x:f>
        <x:v>优先POC</x:v>
      </x:c>
      <x:c r="M7" s="15" t="str">
        <x:v>四舵轮、5自由度躯干、全关节力矩传感；需验证横移后整链路精度</x:v>
      </x:c>
    </x:row>
    <x:row r="8" ht="30" customHeight="1">
      <x:c r="A8" s="15" t="str">
        <x:v>星尘</x:v>
      </x:c>
      <x:c r="B8" s="15" t="str">
        <x:v>Astribot T1</x:v>
      </x:c>
      <x:c r="C8" s="15" t="str">
        <x:v>是</x:v>
      </x:c>
      <x:c r="D8" s="15" t="str">
        <x:v>待确认</x:v>
      </x:c>
      <x:c r="E8" s="15" t="n">
        <x:v>2</x:v>
      </x:c>
      <x:c r="F8" s="15" t="n">
        <x:v>4</x:v>
      </x:c>
      <x:c r="G8" s="15" t="n">
        <x:v>4</x:v>
      </x:c>
      <x:c r="H8" s="15" t="n">
        <x:v>2</x:v>
      </x:c>
      <x:c r="I8" s="15" t="n">
        <x:v>4</x:v>
      </x:c>
      <x:c r="J8" s="15" t="n">
        <x:v>4</x:v>
      </x:c>
      <x:c r="K8" s="16" t="n">
        <x:f>IF(C8&lt;&gt;"是","",SUMPRODUCT(E8:J8,$B$4:$G$4))</x:f>
        <x:v>3.2</x:v>
      </x:c>
      <x:c r="L8" s="15" t="str">
        <x:f>IF(C8&lt;&gt;"是","不参与移动本体排名",IF(D8="不通过","不进入布线POC",IF(K8&gt;=4.2,"优先POC",IF(K8&gt;=3.5,"条件POC","补齐资料后再评估"))))</x:f>
        <x:v>补齐资料后再评估</x:v>
      </x:c>
      <x:c r="M8" s="15" t="str">
        <x:v>紧凑轮式底盘但轮系和蟹行能力未公开；绳驱柔性和量产进展较好，精度与SDK量化不足</x:v>
      </x:c>
    </x:row>
    <x:row r="9" ht="30" customHeight="1">
      <x:c r="A9" s="15" t="str">
        <x:v>智动力</x:v>
      </x:c>
      <x:c r="B9" s="15" t="str">
        <x:v>D1 擎骏系列</x:v>
      </x:c>
      <x:c r="C9" s="15" t="str">
        <x:v>是</x:v>
      </x:c>
      <x:c r="D9" s="15" t="str">
        <x:v>通过待实测</x:v>
      </x:c>
      <x:c r="E9" s="15" t="n">
        <x:v>5</x:v>
      </x:c>
      <x:c r="F9" s="15" t="n">
        <x:v>5</x:v>
      </x:c>
      <x:c r="G9" s="15" t="n">
        <x:v>3</x:v>
      </x:c>
      <x:c r="H9" s="15" t="n">
        <x:v>3</x:v>
      </x:c>
      <x:c r="I9" s="15" t="n">
        <x:v>3</x:v>
      </x:c>
      <x:c r="J9" s="15" t="n">
        <x:v>3</x:v>
      </x:c>
      <x:c r="K9" s="16" t="n">
        <x:f>IF(C9&lt;&gt;"是","",SUMPRODUCT(E9:J9,$B$4:$G$4))</x:f>
        <x:v>3.8</x:v>
      </x:c>
      <x:c r="L9" s="15" t="str">
        <x:f>IF(C9&lt;&gt;"是","不参与移动本体排名",IF(D9="不通过","不进入布线POC",IF(K9&gt;=4.2,"优先POC",IF(K9&gt;=3.5,"条件POC","补齐资料后再评估"))))</x:f>
        <x:v>条件POC</x:v>
      </x:c>
      <x:c r="M9" s="15" t="str">
        <x:v>四轮四转明确支持蟹行；整机重且精度和力控证据不足</x:v>
      </x:c>
    </x:row>
    <x:row r="10" ht="30" customHeight="1">
      <x:c r="A10" s="15" t="str">
        <x:v>宇树</x:v>
      </x:c>
      <x:c r="B10" s="15" t="str">
        <x:v>Unitree G1-D 旗舰版</x:v>
      </x:c>
      <x:c r="C10" s="15" t="str">
        <x:v>是</x:v>
      </x:c>
      <x:c r="D10" s="15" t="str">
        <x:v>不通过</x:v>
      </x:c>
      <x:c r="E10" s="15" t="n">
        <x:v>1</x:v>
      </x:c>
      <x:c r="F10" s="15" t="n">
        <x:v>4</x:v>
      </x:c>
      <x:c r="G10" s="15" t="n">
        <x:v>2</x:v>
      </x:c>
      <x:c r="H10" s="15" t="n">
        <x:v>3</x:v>
      </x:c>
      <x:c r="I10" s="15" t="n">
        <x:v>3</x:v>
      </x:c>
      <x:c r="J10" s="15" t="n">
        <x:v>2</x:v>
      </x:c>
      <x:c r="K10" s="16" t="n">
        <x:f>IF(C10&lt;&gt;"是","",SUMPRODUCT(E10:J10,$B$4:$G$4))</x:f>
        <x:v>2.3</x:v>
      </x:c>
      <x:c r="L10" s="15" t="str">
        <x:f>IF(C10&lt;&gt;"是","不参与移动本体排名",IF(D10="不通过","不进入布线POC",IF(K10&gt;=4.2,"优先POC",IF(K10&gt;=3.5,"条件POC","补齐资料后再评估"))))</x:f>
        <x:v>不进入布线POC</x:v>
      </x:c>
      <x:c r="M10" s="15" t="str">
        <x:v>差速底盘不能纯横移；更偏数据采集和开发平台</x:v>
      </x:c>
    </x:row>
    <x:row r="11" ht="30" customHeight="1">
      <x:c r="A11" s="15" t="str">
        <x:v>智动力</x:v>
      </x:c>
      <x:c r="B11" s="15" t="str">
        <x:v>JUNO2-SD 龙骏系列</x:v>
      </x:c>
      <x:c r="C11" s="15" t="str">
        <x:v>是</x:v>
      </x:c>
      <x:c r="D11" s="15" t="str">
        <x:v>不通过</x:v>
      </x:c>
      <x:c r="E11" s="15" t="n">
        <x:v>1</x:v>
      </x:c>
      <x:c r="F11" s="15" t="n">
        <x:v>4</x:v>
      </x:c>
      <x:c r="G11" s="15" t="n">
        <x:v>2</x:v>
      </x:c>
      <x:c r="H11" s="15" t="n">
        <x:v>2</x:v>
      </x:c>
      <x:c r="I11" s="15" t="n">
        <x:v>3</x:v>
      </x:c>
      <x:c r="J11" s="15" t="n">
        <x:v>2</x:v>
      </x:c>
      <x:c r="K11" s="16" t="n">
        <x:f>IF(C11&lt;&gt;"是","",SUMPRODUCT(E11:J11,$B$4:$G$4))</x:f>
        <x:v>2.15</x:v>
      </x:c>
      <x:c r="L11" s="15" t="str">
        <x:f>IF(C11&lt;&gt;"是","不参与移动本体排名",IF(D11="不通过","不进入布线POC",IF(K11&gt;=4.2,"优先POC",IF(K11&gt;=3.5,"条件POC","补齐资料后再评估"))))</x:f>
        <x:v>不进入布线POC</x:v>
      </x:c>
      <x:c r="M11" s="15" t="str">
        <x:v>差速底盘为硬伤；重复定位和力控指标未公开</x:v>
      </x:c>
    </x:row>
    <x:row r="12" ht="30" customHeight="1">
      <x:c r="A12" s="15" t="str">
        <x:v>智动力</x:v>
      </x:c>
      <x:c r="B12" s="15" t="str">
        <x:v>JUNO1-P 智骏系列</x:v>
      </x:c>
      <x:c r="C12" s="15" t="str">
        <x:v>是</x:v>
      </x:c>
      <x:c r="D12" s="15" t="str">
        <x:v>不通过</x:v>
      </x:c>
      <x:c r="E12" s="15" t="n">
        <x:v>1</x:v>
      </x:c>
      <x:c r="F12" s="15" t="n">
        <x:v>3</x:v>
      </x:c>
      <x:c r="G12" s="15" t="n">
        <x:v>2</x:v>
      </x:c>
      <x:c r="H12" s="15" t="n">
        <x:v>2</x:v>
      </x:c>
      <x:c r="I12" s="15" t="n">
        <x:v>3</x:v>
      </x:c>
      <x:c r="J12" s="15" t="n">
        <x:v>2</x:v>
      </x:c>
      <x:c r="K12" s="16" t="n">
        <x:f>IF(C12&lt;&gt;"是","",SUMPRODUCT(E12:J12,$B$4:$G$4))</x:f>
        <x:v>2</x:v>
      </x:c>
      <x:c r="L12" s="15" t="str">
        <x:f>IF(C12&lt;&gt;"是","不参与移动本体排名",IF(D12="不通过","不进入布线POC",IF(K12&gt;=4.2,"优先POC",IF(K12&gt;=3.5,"条件POC","补齐资料后再评估"))))</x:f>
        <x:v>不进入布线POC</x:v>
      </x:c>
      <x:c r="M12" s="15" t="str">
        <x:v>差速底盘为硬伤；负载和升降能力低于JUNO2</x:v>
      </x:c>
    </x:row>
    <x:row r="13" ht="30" customHeight="1">
      <x:c r="A13" s="15" t="str">
        <x:v>智动力</x:v>
      </x:c>
      <x:c r="B13" s="15" t="str">
        <x:v>L1 灵骏系列</x:v>
      </x:c>
      <x:c r="C13" s="15" t="str">
        <x:v>是</x:v>
      </x:c>
      <x:c r="D13" s="15" t="str">
        <x:v>不通过</x:v>
      </x:c>
      <x:c r="E13" s="15" t="n">
        <x:v>1</x:v>
      </x:c>
      <x:c r="F13" s="15" t="n">
        <x:v>2</x:v>
      </x:c>
      <x:c r="G13" s="15" t="n">
        <x:v>2</x:v>
      </x:c>
      <x:c r="H13" s="15" t="n">
        <x:v>2</x:v>
      </x:c>
      <x:c r="I13" s="15" t="n">
        <x:v>3</x:v>
      </x:c>
      <x:c r="J13" s="15" t="n">
        <x:v>2</x:v>
      </x:c>
      <x:c r="K13" s="16" t="n">
        <x:f>IF(C13&lt;&gt;"是","",SUMPRODUCT(E13:J13,$B$4:$G$4))</x:f>
        <x:v>1.85</x:v>
      </x:c>
      <x:c r="L13" s="15" t="str">
        <x:f>IF(C13&lt;&gt;"是","不参与移动本体排名",IF(D13="不通过","不进入布线POC",IF(K13&gt;=4.2,"优先POC",IF(K13&gt;=3.5,"条件POC","补齐资料后再评估"))))</x:f>
        <x:v>不进入布线POC</x:v>
      </x:c>
      <x:c r="M13" s="15" t="str">
        <x:v>差速底盘且负载、臂展和躯干能力较弱</x:v>
      </x:c>
    </x:row>
    <x:row r="14" ht="30" customHeight="1">
      <x:c r="A14" s="15" t="str">
        <x:v>宇树</x:v>
      </x:c>
      <x:c r="B14" s="15" t="str">
        <x:v>Unitree G1-D 通用版</x:v>
      </x:c>
      <x:c r="C14" s="15" t="str">
        <x:v>是</x:v>
      </x:c>
      <x:c r="D14" s="15" t="str">
        <x:v>不通过</x:v>
      </x:c>
      <x:c r="E14" s="15" t="n">
        <x:v>0</x:v>
      </x:c>
      <x:c r="F14" s="15" t="n">
        <x:v>4</x:v>
      </x:c>
      <x:c r="G14" s="15" t="n">
        <x:v>2</x:v>
      </x:c>
      <x:c r="H14" s="15" t="n">
        <x:v>3</x:v>
      </x:c>
      <x:c r="I14" s="15" t="n">
        <x:v>3</x:v>
      </x:c>
      <x:c r="J14" s="15" t="n">
        <x:v>2</x:v>
      </x:c>
      <x:c r="K14" s="16" t="n">
        <x:f>IF(C14&lt;&gt;"是","",SUMPRODUCT(E14:J14,$B$4:$G$4))</x:f>
        <x:v>2.05</x:v>
      </x:c>
      <x:c r="L14" s="15" t="str">
        <x:f>IF(C14&lt;&gt;"是","不参与移动本体排名",IF(D14="不通过","不进入布线POC",IF(K14&gt;=4.2,"优先POC",IF(K14&gt;=3.5,"条件POC","补齐资料后再评估"))))</x:f>
        <x:v>不进入布线POC</x:v>
      </x:c>
      <x:c r="M14" s="15" t="str">
        <x:v>官方参数未提供主动移动底盘</x:v>
      </x:c>
    </x:row>
    <x:row r="15" ht="30" customHeight="1">
      <x:c r="A15" s="15" t="str">
        <x:v>智动力</x:v>
      </x:c>
      <x:c r="B15" s="15" t="str">
        <x:v>Z1</x:v>
      </x:c>
      <x:c r="C15" s="15" t="str">
        <x:v>否</x:v>
      </x:c>
      <x:c r="D15" s="15" t="str">
        <x:v>不通过</x:v>
      </x:c>
      <x:c r="E15" s="15" t="n">
        <x:v>1</x:v>
      </x:c>
      <x:c r="F15" s="15" t="n">
        <x:v>3</x:v>
      </x:c>
      <x:c r="G15" s="15" t="n">
        <x:v>1</x:v>
      </x:c>
      <x:c r="H15" s="15" t="n">
        <x:v>2</x:v>
      </x:c>
      <x:c r="I15" s="15" t="n">
        <x:v>2</x:v>
      </x:c>
      <x:c r="J15" s="15" t="n">
        <x:v>2</x:v>
      </x:c>
      <x:c r="K15" s="16" t="str">
        <x:f>IF(C15&lt;&gt;"是","",SUMPRODUCT(E15:J15,$B$4:$G$4))</x:f>
      </x:c>
      <x:c r="L15" s="15" t="str">
        <x:f>IF(C15&lt;&gt;"是","不参与移动本体排名",IF(D15="不通过","不进入布线POC",IF(K15&gt;=4.2,"优先POC",IF(K15&gt;=3.5,"条件POC","补齐资料后再评估"))))</x:f>
        <x:v>不参与移动本体排名</x:v>
      </x:c>
      <x:c r="M15" s="15" t="str">
        <x:v>仅有SDK手册且差速底盘；不纳入排名</x:v>
      </x:c>
    </x:row>
    <x:row r="16" ht="30" customHeight="1">
      <x:c r="A16" s="15" t="str">
        <x:v>天机智能</x:v>
      </x:c>
      <x:c r="B16" s="15" t="str">
        <x:v>Marvin M6 CCS</x:v>
      </x:c>
      <x:c r="C16" s="15" t="str">
        <x:v>否</x:v>
      </x:c>
      <x:c r="D16" s="15" t="str">
        <x:v>待集成</x:v>
      </x:c>
      <x:c r="E16" s="15" t="n">
        <x:v>0</x:v>
      </x:c>
      <x:c r="F16" s="15" t="n">
        <x:v>4</x:v>
      </x:c>
      <x:c r="G16" s="15" t="n">
        <x:v>5</x:v>
      </x:c>
      <x:c r="H16" s="15" t="n">
        <x:v>5</x:v>
      </x:c>
      <x:c r="I16" s="15" t="n">
        <x:v>4</x:v>
      </x:c>
      <x:c r="J16" s="15" t="n">
        <x:v>4</x:v>
      </x:c>
      <x:c r="K16" s="16" t="str">
        <x:f>IF(C16&lt;&gt;"是","",SUMPRODUCT(E16:J16,$B$4:$G$4))</x:f>
      </x:c>
      <x:c r="L16" s="15" t="str">
        <x:f>IF(C16&lt;&gt;"是","不参与移动本体排名",IF(D16="不通过","不进入布线POC",IF(K16&gt;=4.2,"优先POC",IF(K16&gt;=3.5,"条件POC","补齐资料后再评估"))))</x:f>
        <x:v>不参与移动本体排名</x:v>
      </x:c>
      <x:c r="M16" s="15" t="str">
        <x:v>双臂模块不含标准底盘；集成全向底盘后再评估</x:v>
      </x:c>
    </x:row>
    <x:row r="17" ht="30" customHeight="1">
      <x:c r="A17" s="15" t="str">
        <x:v>Boston Dynamics</x:v>
      </x:c>
      <x:c r="B17" s="15" t="str">
        <x:v>Atlas</x:v>
      </x:c>
      <x:c r="C17" s="15" t="str">
        <x:v>是</x:v>
      </x:c>
      <x:c r="D17" s="15" t="str">
        <x:v>待实测</x:v>
      </x:c>
      <x:c r="E17" s="15" t="n">
        <x:v>3</x:v>
      </x:c>
      <x:c r="F17" s="15" t="n">
        <x:v>5</x:v>
      </x:c>
      <x:c r="G17" s="15" t="n">
        <x:v>4</x:v>
      </x:c>
      <x:c r="H17" s="15" t="n">
        <x:v>4</x:v>
      </x:c>
      <x:c r="I17" s="15" t="n">
        <x:v>2</x:v>
      </x:c>
      <x:c r="J17" s="15" t="n">
        <x:v>5</x:v>
      </x:c>
      <x:c r="K17" s="16" t="n">
        <x:f>IF(C17&lt;&gt;"是","",SUMPRODUCT(E17:J17,$B$4:$G$4))</x:f>
        <x:v>3.85</x:v>
      </x:c>
      <x:c r="L17" s="15" t="str">
        <x:f>IF(C17&lt;&gt;"是","不参与移动本体排名",IF(D17="不通过","不进入布线POC",IF(K17&gt;=4.2,"优先POC",IF(K17&gt;=3.5,"条件POC","补齐资料后再评估"))))</x:f>
        <x:v>条件POC</x:v>
      </x:c>
      <x:c r="M17" s="15" t="str">
        <x:v>工业可靠性负载和工作空间领先；但双足连续贴线横移、采购与集成开放性待确认</x:v>
      </x:c>
    </x:row>
    <x:row r="18" ht="30" customHeight="1">
      <x:c r="A18" s="15" t="str">
        <x:v>Figure AI</x:v>
      </x:c>
      <x:c r="B18" s="15" t="str">
        <x:v>Figure 03</x:v>
      </x:c>
      <x:c r="C18" s="15" t="str">
        <x:v>是</x:v>
      </x:c>
      <x:c r="D18" s="15" t="str">
        <x:v>待实测</x:v>
      </x:c>
      <x:c r="E18" s="15" t="n">
        <x:v>3</x:v>
      </x:c>
      <x:c r="F18" s="15" t="n">
        <x:v>5</x:v>
      </x:c>
      <x:c r="G18" s="15" t="n">
        <x:v>5</x:v>
      </x:c>
      <x:c r="H18" s="15" t="n">
        <x:v>4</x:v>
      </x:c>
      <x:c r="I18" s="15" t="n">
        <x:v>1</x:v>
      </x:c>
      <x:c r="J18" s="15" t="n">
        <x:v>4</x:v>
      </x:c>
      <x:c r="K18" s="16" t="n">
        <x:f>IF(C18&lt;&gt;"是","",SUMPRODUCT(E18:J18,$B$4:$G$4))</x:f>
        <x:v>3.8000000000000003</x:v>
      </x:c>
      <x:c r="L18" s="15" t="str">
        <x:f>IF(C18&lt;&gt;"是","不参与移动本体排名",IF(D18="不通过","不进入布线POC",IF(K18&gt;=4.2,"优先POC",IF(K18&gt;=3.5,"条件POC","补齐资料后再评估"))))</x:f>
        <x:v>条件POC</x:v>
      </x:c>
      <x:c r="M18" s="15" t="str">
        <x:v>触觉手和量产设计突出；无公开SDK且双足横移节拍与精度未披露</x:v>
      </x:c>
    </x:row>
    <x:row r="19" ht="30" customHeight="1">
      <x:c r="A19" s="15" t="str">
        <x:v>Tesla</x:v>
      </x:c>
      <x:c r="B19" s="15" t="str">
        <x:v>Optimus</x:v>
      </x:c>
      <x:c r="C19" s="15" t="str">
        <x:v>是</x:v>
      </x:c>
      <x:c r="D19" s="15" t="str">
        <x:v>待确认</x:v>
      </x:c>
      <x:c r="E19" s="15" t="n">
        <x:v>3</x:v>
      </x:c>
      <x:c r="F19" s="15" t="n">
        <x:v>4</x:v>
      </x:c>
      <x:c r="G19" s="15" t="n">
        <x:v>3</x:v>
      </x:c>
      <x:c r="H19" s="15" t="n">
        <x:v>3</x:v>
      </x:c>
      <x:c r="I19" s="15" t="n">
        <x:v>1</x:v>
      </x:c>
      <x:c r="J19" s="15" t="n">
        <x:v>2</x:v>
      </x:c>
      <x:c r="K19" s="16" t="n">
        <x:f>IF(C19&lt;&gt;"是","",SUMPRODUCT(E19:J19,$B$4:$G$4))</x:f>
        <x:v>2.8000000000000003</x:v>
      </x:c>
      <x:c r="L19" s="15" t="str">
        <x:f>IF(C19&lt;&gt;"是","不参与移动本体排名",IF(D19="不通过","不进入布线POC",IF(K19&gt;=4.2,"优先POC",IF(K19&gt;=3.5,"条件POC","补齐资料后再评估"))))</x:f>
        <x:v>补齐资料后再评估</x:v>
      </x:c>
      <x:c r="M19" s="15" t="str">
        <x:v>官方工程参数和外部集成方式严重不足；暂不具备正式采购比较条件</x:v>
      </x:c>
    </x:row>
    <x:row r="20" ht="30" customHeight="1">
      <x:c r="A20" s="15" t="str">
        <x:v>逐际动力</x:v>
      </x:c>
      <x:c r="B20" s="15" t="str">
        <x:v>LimX Oli EDU</x:v>
      </x:c>
      <x:c r="C20" s="15" t="str">
        <x:v>是</x:v>
      </x:c>
      <x:c r="D20" s="15" t="str">
        <x:v>待实测</x:v>
      </x:c>
      <x:c r="E20" s="15" t="n">
        <x:v>3</x:v>
      </x:c>
      <x:c r="F20" s="15" t="n">
        <x:v>5</x:v>
      </x:c>
      <x:c r="G20" s="15" t="n">
        <x:v>3</x:v>
      </x:c>
      <x:c r="H20" s="15" t="n">
        <x:v>3</x:v>
      </x:c>
      <x:c r="I20" s="15" t="n">
        <x:v>5</x:v>
      </x:c>
      <x:c r="J20" s="15" t="n">
        <x:v>2</x:v>
      </x:c>
      <x:c r="K20" s="16" t="n">
        <x:f>IF(C20&lt;&gt;"是","",SUMPRODUCT(E20:J20,$B$4:$G$4))</x:f>
        <x:v>3.3499999999999996</x:v>
      </x:c>
      <x:c r="L20" s="15" t="str">
        <x:f>IF(C20&lt;&gt;"是","不参与移动本体排名",IF(D20="不通过","不进入布线POC",IF(K20&gt;=4.2,"优先POC",IF(K20&gt;=3.5,"条件POC","补齐资料后再评估"))))</x:f>
        <x:v>补齐资料后再评估</x:v>
      </x:c>
      <x:c r="M20" s="15" t="str">
        <x:v>开放开发工具链和全尺寸工作空间较好；双足贴线横移、精度和工业认证需验证</x:v>
      </x:c>
    </x:row>
    <x:row r="21" ht="30" customHeight="1">
      <x:c r="A21" s="15" t="str">
        <x:v>逐际动力</x:v>
      </x:c>
      <x:c r="B21" s="15" t="str">
        <x:v>TRON 2 双臂形态</x:v>
      </x:c>
      <x:c r="C21" s="15" t="str">
        <x:v>是</x:v>
      </x:c>
      <x:c r="D21" s="15" t="str">
        <x:v>待确认</x:v>
      </x:c>
      <x:c r="E21" s="15" t="n">
        <x:v>3</x:v>
      </x:c>
      <x:c r="F21" s="15" t="n">
        <x:v>4</x:v>
      </x:c>
      <x:c r="G21" s="15" t="n">
        <x:v>3</x:v>
      </x:c>
      <x:c r="H21" s="15" t="n">
        <x:v>3</x:v>
      </x:c>
      <x:c r="I21" s="15" t="n">
        <x:v>5</x:v>
      </x:c>
      <x:c r="J21" s="15" t="n">
        <x:v>2</x:v>
      </x:c>
      <x:c r="K21" s="16" t="n">
        <x:f>IF(C21&lt;&gt;"是","",SUMPRODUCT(E21:J21,$B$4:$G$4))</x:f>
        <x:v>3.2</x:v>
      </x:c>
      <x:c r="L21" s="15" t="str">
        <x:f>IF(C21&lt;&gt;"是","不参与移动本体排名",IF(D21="不通过","不进入布线POC",IF(K21&gt;=4.2,"优先POC",IF(K21&gt;=3.5,"条件POC","补齐资料后再评估"))))</x:f>
        <x:v>补齐资料后再评估</x:v>
      </x:c>
      <x:c r="M21" s="15" t="str">
        <x:v>接口开放且多形态；四向移动是否包含保持朝向纯横移需要供应商确认</x:v>
      </x:c>
    </x:row>
    <x:row r="22" ht="30" customHeight="1">
      <x:c r="A22" s="15" t="str">
        <x:v>星海图</x:v>
      </x:c>
      <x:c r="B22" s="15" t="str">
        <x:v>Galaxea R1 Pro 2026</x:v>
      </x:c>
      <x:c r="C22" s="15" t="str">
        <x:v>是</x:v>
      </x:c>
      <x:c r="D22" s="15" t="str">
        <x:v>通过</x:v>
      </x:c>
      <x:c r="E22" s="15" t="n">
        <x:v>5</x:v>
      </x:c>
      <x:c r="F22" s="15" t="n">
        <x:v>5</x:v>
      </x:c>
      <x:c r="G22" s="15" t="n">
        <x:v>4</x:v>
      </x:c>
      <x:c r="H22" s="15" t="n">
        <x:v>3</x:v>
      </x:c>
      <x:c r="I22" s="15" t="n">
        <x:v>4</x:v>
      </x:c>
      <x:c r="J22" s="15" t="n">
        <x:v>3</x:v>
      </x:c>
      <x:c r="K22" s="16" t="n">
        <x:f>IF(C22&lt;&gt;"是","",SUMPRODUCT(E22:J22,$B$4:$G$4))</x:f>
        <x:v>4.1</x:v>
      </x:c>
      <x:c r="L22" s="15" t="str">
        <x:f>IF(C22&lt;&gt;"是","不参与移动本体排名",IF(D22="不通过","不进入布线POC",IF(K22&gt;=4.2,"优先POC",IF(K22&gt;=3.5,"条件POC","补齐资料后再评估"))))</x:f>
        <x:v>条件POC</x:v>
      </x:c>
      <x:c r="M22" s="15" t="str">
        <x:v>三舵轮全向和工作空间契合；重复精度0.5mm且机械臂无制动器是主要风险</x:v>
      </x:c>
    </x:row>
    <x:row r="23" ht="30" customHeight="1">
      <x:c r="A23" s="15" t="str">
        <x:v>它石智航</x:v>
      </x:c>
      <x:c r="B23" s="15" t="str">
        <x:v>TARS A1</x:v>
      </x:c>
      <x:c r="C23" s="15" t="str">
        <x:v>是</x:v>
      </x:c>
      <x:c r="D23" s="15" t="str">
        <x:v>待确认</x:v>
      </x:c>
      <x:c r="E23" s="15" t="n">
        <x:v>3</x:v>
      </x:c>
      <x:c r="F23" s="15" t="n">
        <x:v>4</x:v>
      </x:c>
      <x:c r="G23" s="15" t="n">
        <x:v>5</x:v>
      </x:c>
      <x:c r="H23" s="15" t="n">
        <x:v>5</x:v>
      </x:c>
      <x:c r="I23" s="15" t="n">
        <x:v>1</x:v>
      </x:c>
      <x:c r="J23" s="15" t="n">
        <x:v>3</x:v>
      </x:c>
      <x:c r="K23" s="16" t="n">
        <x:f>IF(C23&lt;&gt;"是","",SUMPRODUCT(E23:J23,$B$4:$G$4))</x:f>
        <x:v>3.6500000000000004</x:v>
      </x:c>
      <x:c r="L23" s="15" t="str">
        <x:f>IF(C23&lt;&gt;"是","不参与移动本体排名",IF(D23="不通过","不进入布线POC",IF(K23&gt;=4.2,"优先POC",IF(K23&gt;=3.5,"条件POC","补齐资料后再评估"))))</x:f>
        <x:v>条件POC</x:v>
      </x:c>
      <x:c r="M23" s="15" t="str">
        <x:v>线束任务证据最强；底盘轮型接口参数和规模部署验收数据未公开且内部反馈仍有差距</x:v>
      </x:c>
    </x:row>
  </x:sheetData>
  <x:mergeCells>
    <x:mergeCell ref="A1:M1"/>
  </x:mergeCells>
  <x:conditionalFormatting sqref="K7:K23">
    <x:cfRule type="colorScale" priority="1">
      <x:colorScale>
        <x:cfvo type="min"/>
        <x:cfvo type="percentile" val="50"/>
        <x:cfvo type="max"/>
        <x:color rgb="FFFCE4D6"/>
        <x:color rgb="FFFFF2CC"/>
        <x:color rgb="FFE2F0D9"/>
      </x:colorScale>
    </x:cfRule>
  </x:conditionalFormatting>
  <x:conditionalFormatting sqref="D7:D23">
    <x:cfRule type="cellIs" dxfId="2" priority="2">
      <x:formula>"不通过"</x:formula>
    </x:cfRule>
    <x:cfRule type="cellIs" dxfId="3" priority="3">
      <x:formula>"通过"</x:formula>
    </x:cfRule>
  </x:conditionalFormatting>
  <x:dataValidations count="1">
    <x:dataValidation operator="between" showErrorMessage="1" errorTitle="评分超范围" error="请输入 0 到 5 的整数。" sqref="E7:J23">
      <x:formula1>0</x:formula1>
      <x:formula2>5</x:formula2>
    </x:dataValidation>
  </x:dataValidations>
  <x:pageMargins left="0.7" right="0.7" top="0.75" bottom="0.75" header="0.3" footer="0.3"/>
  <x:tableParts count="1">
    <x:tablePart xmlns:r="http://schemas.openxmlformats.org/officeDocument/2006/relationships" r:id="Rdbe4832f0df04260"/>
  </x:tableParts>
</x:worksheet>
</file>

<file path=xl/worksheets/sheet4.xml><?xml version="1.0" encoding="utf-8"?>
<x:worksheet xmlns:x="http://schemas.openxmlformats.org/spreadsheetml/2006/main">
  <x:sheetViews>
    <x:sheetView workbookViewId="0">
      <x:pane xSplit="3" ySplit="3" topLeftCell="D4" activePane="bottomRight" state="frozen"/>
    </x:sheetView>
  </x:sheetViews>
  <x:sheetFormatPr defaultRowHeight="15"/>
  <x:cols>
    <x:col min="1" max="1" width="13" hidden="0" customWidth="1"/>
    <x:col min="2" max="2" width="23" hidden="0" customWidth="1"/>
    <x:col min="3" max="3" width="2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 min="11" max="11" width="24" hidden="0" customWidth="1"/>
    <x:col min="12" max="12" width="13" hidden="0" customWidth="1"/>
    <x:col min="13" max="13" width="13" hidden="0" customWidth="1"/>
    <x:col min="14" max="14" width="13" hidden="0" customWidth="1"/>
    <x:col min="15" max="15" width="13" hidden="0" customWidth="1"/>
    <x:col min="16" max="16" width="13" hidden="0" customWidth="1"/>
    <x:col min="17" max="17" width="13" hidden="0" customWidth="1"/>
    <x:col min="18" max="18" width="13" hidden="0" customWidth="1"/>
    <x:col min="19" max="19" width="13" hidden="0" customWidth="1"/>
    <x:col min="20" max="20" width="13" hidden="0" customWidth="1"/>
    <x:col min="21" max="21" width="13" hidden="0" customWidth="1"/>
    <x:col min="22" max="22" width="13" hidden="0" customWidth="1"/>
    <x:col min="23" max="23" width="13" hidden="0" customWidth="1"/>
    <x:col min="24" max="24" width="13" hidden="0" customWidth="1"/>
    <x:col min="25" max="25" width="13" hidden="0" customWidth="1"/>
    <x:col min="26" max="26" width="13" hidden="0" customWidth="1"/>
    <x:col min="27" max="27" width="13" hidden="0" customWidth="1"/>
    <x:col min="28" max="28" width="13" hidden="0" customWidth="1"/>
    <x:col min="29" max="29" width="34" hidden="0" customWidth="1"/>
    <x:col min="30" max="30" width="13" hidden="0" customWidth="1"/>
    <x:col min="31" max="31" width="24" hidden="0" customWidth="1"/>
    <x:col min="32" max="32" width="13" hidden="0" customWidth="1"/>
    <x:col min="33" max="33" width="13" hidden="0" customWidth="1"/>
    <x:col min="34" max="34" width="38" hidden="0" customWidth="1"/>
    <x:col min="35" max="35" width="38" hidden="0" customWidth="1"/>
    <x:col min="36" max="36" width="38" hidden="0" customWidth="1"/>
    <x:col min="37" max="37" width="38" hidden="0" customWidth="1"/>
  </x:cols>
  <x:sheetData>
    <x:row r="1">
      <x:c r="A1" s="5" t="str">
        <x:v>机器人本体参数主表｜空白表示待供应商确认，不代表 0</x:v>
      </x:c>
      <x:c r="B1" s="5"/>
      <x:c r="C1" s="5"/>
      <x:c r="D1" s="5"/>
      <x:c r="E1" s="5"/>
      <x:c r="F1" s="5"/>
      <x:c r="G1" s="5"/>
      <x:c r="H1" s="5"/>
      <x:c r="I1" s="5"/>
      <x:c r="J1" s="5"/>
      <x:c r="K1" s="5"/>
      <x:c r="L1" s="5"/>
      <x:c r="M1" s="5"/>
      <x:c r="N1" s="5"/>
      <x:c r="O1" s="5"/>
      <x:c r="P1" s="5"/>
      <x:c r="Q1" s="5"/>
      <x:c r="R1" s="5"/>
      <x:c r="S1" s="5"/>
      <x:c r="T1" s="5"/>
      <x:c r="U1" s="5"/>
      <x:c r="V1" s="5"/>
      <x:c r="W1" s="5"/>
      <x:c r="X1" s="5"/>
      <x:c r="Y1" s="5"/>
      <x:c r="Z1" s="5"/>
      <x:c r="AA1" s="5"/>
      <x:c r="AB1" s="5"/>
      <x:c r="AC1" s="5"/>
      <x:c r="AD1" s="5"/>
      <x:c r="AE1" s="5"/>
      <x:c r="AF1" s="5"/>
      <x:c r="AG1" s="5"/>
      <x:c r="AH1" s="5"/>
      <x:c r="AI1" s="5"/>
      <x:c r="AJ1" s="5"/>
      <x:c r="AK1" s="5"/>
      <x:c r="AL1" s="1"/>
      <x:c r="AM1" s="1"/>
      <x:c r="AN1" s="1"/>
      <x:c r="AO1" s="1"/>
      <x:c r="AP1" s="1"/>
      <x:c r="AQ1" s="1"/>
      <x:c r="AR1" s="1"/>
      <x:c r="AS1" s="1"/>
      <x:c r="AT1" s="1"/>
      <x:c r="AU1" s="1"/>
      <x:c r="AV1" s="1"/>
      <x:c r="AW1" s="1"/>
      <x:c r="AX1" s="1"/>
      <x:c r="AY1" s="1"/>
      <x:c r="AZ1" s="1"/>
    </x:row>
    <x:row r="3">
      <x:c r="A3" s="13" t="str">
        <x:v>model_id</x:v>
      </x:c>
      <x:c r="B3" s="13" t="str">
        <x:v>vendor</x:v>
      </x:c>
      <x:c r="C3" s="13" t="str">
        <x:v>model</x:v>
      </x:c>
      <x:c r="D3" s="13" t="str">
        <x:v>category</x:v>
      </x:c>
      <x:c r="E3" s="13" t="str">
        <x:v>product_stage</x:v>
      </x:c>
      <x:c r="F3" s="13" t="str">
        <x:v>total_dof_excl_ee</x:v>
      </x:c>
      <x:c r="G3" s="13" t="str">
        <x:v>arm_dof_each</x:v>
      </x:c>
      <x:c r="H3" s="13" t="str">
        <x:v>torso_dof</x:v>
      </x:c>
      <x:c r="I3" s="13" t="str">
        <x:v>head_dof</x:v>
      </x:c>
      <x:c r="J3" s="13" t="str">
        <x:v>base_planar_dof</x:v>
      </x:c>
      <x:c r="K3" s="13" t="str">
        <x:v>base_type</x:v>
      </x:c>
      <x:c r="L3" s="13" t="str">
        <x:v>crab_supported</x:v>
      </x:c>
      <x:c r="M3" s="13" t="str">
        <x:v>base_speed_mps</x:v>
      </x:c>
      <x:c r="N3" s="13" t="str">
        <x:v>height_min_mm</x:v>
      </x:c>
      <x:c r="O3" s="13" t="str">
        <x:v>height_max_mm</x:v>
      </x:c>
      <x:c r="P3" s="13" t="str">
        <x:v>width_mm</x:v>
      </x:c>
      <x:c r="Q3" s="13" t="str">
        <x:v>length_mm</x:v>
      </x:c>
      <x:c r="R3" s="13" t="str">
        <x:v>weight_kg</x:v>
      </x:c>
      <x:c r="S3" s="13" t="str">
        <x:v>arm_reach_mm</x:v>
      </x:c>
      <x:c r="T3" s="13" t="str">
        <x:v>bimanual_span_mm</x:v>
      </x:c>
      <x:c r="U3" s="13" t="str">
        <x:v>payload_per_arm_rated_kg</x:v>
      </x:c>
      <x:c r="V3" s="13" t="str">
        <x:v>payload_per_arm_peak_kg</x:v>
      </x:c>
      <x:c r="W3" s="13" t="str">
        <x:v>bimanual_rated_kg</x:v>
      </x:c>
      <x:c r="X3" s="13" t="str">
        <x:v>bimanual_peak_kg</x:v>
      </x:c>
      <x:c r="Y3" s="13" t="str">
        <x:v>vertical_workspace_m</x:v>
      </x:c>
      <x:c r="Z3" s="13" t="str">
        <x:v>repeatability_mm</x:v>
      </x:c>
      <x:c r="AA3" s="13" t="str">
        <x:v>absolute_accuracy_mm</x:v>
      </x:c>
      <x:c r="AB3" s="13" t="str">
        <x:v>force_control</x:v>
      </x:c>
      <x:c r="AC3" s="13" t="str">
        <x:v>force_resolution_nm</x:v>
      </x:c>
      <x:c r="AD3" s="13" t="str">
        <x:v>force_sample_hz</x:v>
      </x:c>
      <x:c r="AE3" s="13" t="str">
        <x:v>compute</x:v>
      </x:c>
      <x:c r="AF3" s="13" t="str">
        <x:v>runtime_h</x:v>
      </x:c>
      <x:c r="AG3" s="13" t="str">
        <x:v>ip_rating</x:v>
      </x:c>
      <x:c r="AH3" s="13" t="str">
        <x:v>end_effector</x:v>
      </x:c>
      <x:c r="AI3" s="13" t="str">
        <x:v>interfaces</x:v>
      </x:c>
      <x:c r="AJ3" s="13" t="str">
        <x:v>evidence_level</x:v>
      </x:c>
      <x:c r="AK3" s="13" t="str">
        <x:v>notes</x:v>
      </x:c>
    </x:row>
    <x:row r="4" ht="34" customHeight="1">
      <x:c r="A4" s="15" t="str">
        <x:v>agibot_g2</x:v>
      </x:c>
      <x:c r="B4" s="15" t="str">
        <x:v>智元</x:v>
      </x:c>
      <x:c r="C4" s="15" t="str">
        <x:v>AgiBot 精灵G2</x:v>
      </x:c>
      <x:c r="D4" s="15" t="str">
        <x:v>移动双臂本体</x:v>
      </x:c>
      <x:c r="E4" s="15" t="str">
        <x:v>量产/部署</x:v>
      </x:c>
      <x:c r="F4" s="15" t="n">
        <x:v>25</x:v>
      </x:c>
      <x:c r="G4" s="15" t="n">
        <x:v>7</x:v>
      </x:c>
      <x:c r="H4" s="15" t="n">
        <x:v>5</x:v>
      </x:c>
      <x:c r="I4" s="15" t="n">
        <x:v>3</x:v>
      </x:c>
      <x:c r="J4" s="15" t="n">
        <x:v>3</x:v>
      </x:c>
      <x:c r="K4" s="15" t="str">
        <x:v>四舵轮全向底盘</x:v>
      </x:c>
      <x:c r="L4" s="15" t="str">
        <x:v>是</x:v>
      </x:c>
      <x:c r="M4" s="15" t="n">
        <x:v>1.5</x:v>
      </x:c>
      <x:c r="N4" s="15" t="n">
        <x:v>1225</x:v>
      </x:c>
      <x:c r="O4" s="15" t="n">
        <x:v>1795</x:v>
      </x:c>
      <x:c r="P4" s="15" t="n">
        <x:v>640</x:v>
      </x:c>
      <x:c r="Q4" s="15" t="n">
        <x:v>760</x:v>
      </x:c>
      <x:c r="R4" s="15" t="n">
        <x:v>185</x:v>
      </x:c>
      <x:c r="S4" s="15" t="n">
        <x:v>696</x:v>
      </x:c>
      <x:c r="T4" s="15" t="n">
        <x:v>2300</x:v>
      </x:c>
      <x:c r="U4" s="15" t="n">
        <x:v>5</x:v>
      </x:c>
      <x:c r="V4" s="15"/>
      <x:c r="W4" s="15" t="n">
        <x:v>10</x:v>
      </x:c>
      <x:c r="X4" s="15" t="n">
        <x:v>15</x:v>
      </x:c>
      <x:c r="Y4" s="15" t="str">
        <x:v>0-2.3</x:v>
      </x:c>
      <x:c r="Z4" s="15" t="n">
        <x:v>0.1</x:v>
      </x:c>
      <x:c r="AA4" s="15" t="n">
        <x:v>1</x:v>
      </x:c>
      <x:c r="AB4" s="15" t="str">
        <x:v>全关节力矩监测和高精度力控</x:v>
      </x:c>
      <x:c r="AC4" s="15" t="n">
        <x:v>0.02</x:v>
      </x:c>
      <x:c r="AD4" s="15" t="n">
        <x:v>5000</x:v>
      </x:c>
      <x:c r="AE4" s="15" t="str">
        <x:v>标准500 TOPS INT8；高算力2070 TFLOPS FP4</x:v>
      </x:c>
      <x:c r="AF4" s="15" t="str">
        <x:v>4</x:v>
      </x:c>
      <x:c r="AG4" s="15" t="str"/>
      <x:c r="AH4" s="15" t="str">
        <x:v>夹爪或灵巧手可选</x:v>
      </x:c>
      <x:c r="AI4" s="15" t="str">
        <x:v>末端24V；RS485×2；CAN-FD；1G/10G网口；USB</x:v>
      </x:c>
      <x:c r="AJ4" s="15" t="str">
        <x:v>官方用户手册</x:v>
      </x:c>
      <x:c r="AK4" s="15" t="str">
        <x:v>导航精度为厘米级，精密操作仍需视觉和力控闭环</x:v>
      </x:c>
    </x:row>
    <x:row r="5" ht="34" customHeight="1">
      <x:c r="A5" s="15" t="str">
        <x:v>astribot_t1</x:v>
      </x:c>
      <x:c r="B5" s="15" t="str">
        <x:v>星尘</x:v>
      </x:c>
      <x:c r="C5" s="15" t="str">
        <x:v>Astribot T1</x:v>
      </x:c>
      <x:c r="D5" s="15" t="str">
        <x:v>移动双臂本体</x:v>
      </x:c>
      <x:c r="E5" s="15" t="str">
        <x:v>量产/发货</x:v>
      </x:c>
      <x:c r="F5" s="15" t="n">
        <x:v>23</x:v>
      </x:c>
      <x:c r="G5" s="15"/>
      <x:c r="H5" s="15"/>
      <x:c r="I5" s="15"/>
      <x:c r="J5" s="15"/>
      <x:c r="K5" s="15" t="str">
        <x:v>紧凑轮式底盘（轮系未公开）</x:v>
      </x:c>
      <x:c r="L5" s="15" t="str">
        <x:v>待确认</x:v>
      </x:c>
      <x:c r="M5" s="15"/>
      <x:c r="N5" s="15" t="n">
        <x:v>1550</x:v>
      </x:c>
      <x:c r="O5" s="15" t="n">
        <x:v>1550</x:v>
      </x:c>
      <x:c r="P5" s="15"/>
      <x:c r="Q5" s="15"/>
      <x:c r="R5" s="15" t="n">
        <x:v>66</x:v>
      </x:c>
      <x:c r="S5" s="15"/>
      <x:c r="T5" s="15"/>
      <x:c r="U5" s="15" t="n">
        <x:v>5</x:v>
      </x:c>
      <x:c r="V5" s="15"/>
      <x:c r="W5" s="15"/>
      <x:c r="X5" s="15"/>
      <x:c r="Y5" s="15" t="str"/>
      <x:c r="Z5" s="15"/>
      <x:c r="AA5" s="15"/>
      <x:c r="AB5" s="15" t="str">
        <x:v>绳驱柔性；碰撞卸力（控制与传感指标未公开）</x:v>
      </x:c>
      <x:c r="AC5" s="15"/>
      <x:c r="AD5" s="15"/>
      <x:c r="AE5" s="15" t="str"/>
      <x:c r="AF5" s="15" t="str"/>
      <x:c r="AG5" s="15" t="str"/>
      <x:c r="AH5" s="15" t="str">
        <x:v>支持多样末端配置与更换</x:v>
      </x:c>
      <x:c r="AI5" s="15" t="str">
        <x:v>末端与算力背包扩展接口；自动回充；快捷换电（协议未公开）</x:v>
      </x:c>
      <x:c r="AJ5" s="15" t="str">
        <x:v>官网+政府及媒体报道</x:v>
      </x:c>
      <x:c r="AK5" s="15" t="str">
        <x:v>8.99万元起；底盘是否全向、移动与操作精度、SDK协议、续航和工业认证未公开</x:v>
      </x:c>
    </x:row>
    <x:row r="6" ht="34" customHeight="1">
      <x:c r="A6" s="15" t="str">
        <x:v>zdl_d1</x:v>
      </x:c>
      <x:c r="B6" s="15" t="str">
        <x:v>智动力</x:v>
      </x:c>
      <x:c r="C6" s="15" t="str">
        <x:v>D1 擎骏系列</x:v>
      </x:c>
      <x:c r="D6" s="15" t="str">
        <x:v>移动双臂本体</x:v>
      </x:c>
      <x:c r="E6" s="15" t="str">
        <x:v>供应商产品资料</x:v>
      </x:c>
      <x:c r="F6" s="15" t="n">
        <x:v>23</x:v>
      </x:c>
      <x:c r="G6" s="15" t="n">
        <x:v>7</x:v>
      </x:c>
      <x:c r="H6" s="15"/>
      <x:c r="I6" s="15"/>
      <x:c r="J6" s="15"/>
      <x:c r="K6" s="15" t="str">
        <x:v>四轮四转底盘</x:v>
      </x:c>
      <x:c r="L6" s="15" t="str">
        <x:v>是</x:v>
      </x:c>
      <x:c r="M6" s="15" t="n">
        <x:v>1.5</x:v>
      </x:c>
      <x:c r="N6" s="15" t="n">
        <x:v>1850</x:v>
      </x:c>
      <x:c r="O6" s="15" t="n">
        <x:v>1850</x:v>
      </x:c>
      <x:c r="P6" s="15"/>
      <x:c r="Q6" s="15"/>
      <x:c r="R6" s="15" t="n">
        <x:v>300</x:v>
      </x:c>
      <x:c r="S6" s="15" t="n">
        <x:v>1000</x:v>
      </x:c>
      <x:c r="T6" s="15"/>
      <x:c r="U6" s="15" t="n">
        <x:v>15</x:v>
      </x:c>
      <x:c r="V6" s="15" t="n">
        <x:v>25</x:v>
      </x:c>
      <x:c r="W6" s="15"/>
      <x:c r="X6" s="15"/>
      <x:c r="Y6" s="15" t="str"/>
      <x:c r="Z6" s="15"/>
      <x:c r="AA6" s="15"/>
      <x:c r="AB6" s="15" t="str">
        <x:v>全力控双臂，缺少量化指标</x:v>
      </x:c>
      <x:c r="AC6" s="15"/>
      <x:c r="AD6" s="15"/>
      <x:c r="AE6" s="15" t="str">
        <x:v>AGX Orin 200 TOPS；可选275 TOPS</x:v>
      </x:c>
      <x:c r="AF6" s="15" t="str">
        <x:v>6</x:v>
      </x:c>
      <x:c r="AG6" s="15" t="str">
        <x:v>IP50</x:v>
      </x:c>
      <x:c r="AH6" s="15" t="str">
        <x:v>七自由度灵巧手或夹爪</x:v>
      </x:c>
      <x:c r="AI6" s="15" t="str">
        <x:v>C++；ROS；Python；EtherCAT×2；CAN×2；UART×6</x:v>
      </x:c>
      <x:c r="AJ6" s="15" t="str">
        <x:v>供应商产品册</x:v>
      </x:c>
      <x:c r="AK6" s="15" t="str">
        <x:v>1000mm升降；额定承载200kg；体积和重量较大</x:v>
      </x:c>
    </x:row>
    <x:row r="7" ht="34" customHeight="1">
      <x:c r="A7" s="15" t="str">
        <x:v>zdl_juno2</x:v>
      </x:c>
      <x:c r="B7" s="15" t="str">
        <x:v>智动力</x:v>
      </x:c>
      <x:c r="C7" s="15" t="str">
        <x:v>JUNO2-SD 龙骏系列</x:v>
      </x:c>
      <x:c r="D7" s="15" t="str">
        <x:v>移动双臂本体</x:v>
      </x:c>
      <x:c r="E7" s="15" t="str">
        <x:v>供应商产品资料</x:v>
      </x:c>
      <x:c r="F7" s="15" t="n">
        <x:v>22</x:v>
      </x:c>
      <x:c r="G7" s="15" t="n">
        <x:v>7</x:v>
      </x:c>
      <x:c r="H7" s="15" t="n">
        <x:v>4</x:v>
      </x:c>
      <x:c r="I7" s="15"/>
      <x:c r="J7" s="15"/>
      <x:c r="K7" s="15" t="str">
        <x:v>双差速线控底盘</x:v>
      </x:c>
      <x:c r="L7" s="15" t="str">
        <x:v>否</x:v>
      </x:c>
      <x:c r="M7" s="15" t="n">
        <x:v>1.5</x:v>
      </x:c>
      <x:c r="N7" s="15" t="n">
        <x:v>1780</x:v>
      </x:c>
      <x:c r="O7" s="15" t="n">
        <x:v>1780</x:v>
      </x:c>
      <x:c r="P7" s="15" t="n">
        <x:v>600</x:v>
      </x:c>
      <x:c r="Q7" s="15"/>
      <x:c r="R7" s="15" t="n">
        <x:v>160</x:v>
      </x:c>
      <x:c r="S7" s="15" t="n">
        <x:v>800</x:v>
      </x:c>
      <x:c r="T7" s="15"/>
      <x:c r="U7" s="15" t="n">
        <x:v>5</x:v>
      </x:c>
      <x:c r="V7" s="15" t="n">
        <x:v>8</x:v>
      </x:c>
      <x:c r="W7" s="15"/>
      <x:c r="X7" s="15"/>
      <x:c r="Y7" s="15" t="str"/>
      <x:c r="Z7" s="15"/>
      <x:c r="AA7" s="15"/>
      <x:c r="AB7" s="15" t="str">
        <x:v>未公开</x:v>
      </x:c>
      <x:c r="AC7" s="15"/>
      <x:c r="AD7" s="15"/>
      <x:c r="AE7" s="15" t="str">
        <x:v>Jetson Orin NX 157 TOPS；可选275 TOPS</x:v>
      </x:c>
      <x:c r="AF7" s="15" t="str">
        <x:v>6</x:v>
      </x:c>
      <x:c r="AG7" s="15" t="str">
        <x:v>IP40</x:v>
      </x:c>
      <x:c r="AH7" s="15" t="str">
        <x:v>七自由度灵巧手或夹爪</x:v>
      </x:c>
      <x:c r="AI7" s="15" t="str">
        <x:v>C++；ROS；Python；EtherCAT×2；CAN×2；UART×6</x:v>
      </x:c>
      <x:c r="AJ7" s="15" t="str">
        <x:v>供应商产品册</x:v>
      </x:c>
      <x:c r="AK7" s="15" t="str">
        <x:v>550mm升降；差速底盘不支持保持朝向横移</x:v>
      </x:c>
    </x:row>
    <x:row r="8" ht="34" customHeight="1">
      <x:c r="A8" s="15" t="str">
        <x:v>zdl_juno1</x:v>
      </x:c>
      <x:c r="B8" s="15" t="str">
        <x:v>智动力</x:v>
      </x:c>
      <x:c r="C8" s="15" t="str">
        <x:v>JUNO1-P 智骏系列</x:v>
      </x:c>
      <x:c r="D8" s="15" t="str">
        <x:v>移动双臂本体</x:v>
      </x:c>
      <x:c r="E8" s="15" t="str">
        <x:v>供应商产品资料</x:v>
      </x:c>
      <x:c r="F8" s="15" t="n">
        <x:v>21</x:v>
      </x:c>
      <x:c r="G8" s="15" t="n">
        <x:v>7</x:v>
      </x:c>
      <x:c r="H8" s="15" t="n">
        <x:v>3</x:v>
      </x:c>
      <x:c r="I8" s="15"/>
      <x:c r="J8" s="15"/>
      <x:c r="K8" s="15" t="str">
        <x:v>双差速线控底盘</x:v>
      </x:c>
      <x:c r="L8" s="15" t="str">
        <x:v>否</x:v>
      </x:c>
      <x:c r="M8" s="15" t="n">
        <x:v>1.5</x:v>
      </x:c>
      <x:c r="N8" s="15" t="n">
        <x:v>1750</x:v>
      </x:c>
      <x:c r="O8" s="15" t="n">
        <x:v>1750</x:v>
      </x:c>
      <x:c r="P8" s="15" t="n">
        <x:v>600</x:v>
      </x:c>
      <x:c r="Q8" s="15"/>
      <x:c r="R8" s="15" t="n">
        <x:v>120</x:v>
      </x:c>
      <x:c r="S8" s="15" t="n">
        <x:v>800</x:v>
      </x:c>
      <x:c r="T8" s="15"/>
      <x:c r="U8" s="15" t="n">
        <x:v>3</x:v>
      </x:c>
      <x:c r="V8" s="15"/>
      <x:c r="W8" s="15"/>
      <x:c r="X8" s="15"/>
      <x:c r="Y8" s="15" t="str"/>
      <x:c r="Z8" s="15"/>
      <x:c r="AA8" s="15"/>
      <x:c r="AB8" s="15" t="str">
        <x:v>未公开</x:v>
      </x:c>
      <x:c r="AC8" s="15"/>
      <x:c r="AD8" s="15"/>
      <x:c r="AE8" s="15" t="str">
        <x:v>Jetson Orin NX 157 TOPS</x:v>
      </x:c>
      <x:c r="AF8" s="15" t="str">
        <x:v>4</x:v>
      </x:c>
      <x:c r="AG8" s="15" t="str">
        <x:v>IP40</x:v>
      </x:c>
      <x:c r="AH8" s="15" t="str">
        <x:v>七自由度灵巧手或夹爪</x:v>
      </x:c>
      <x:c r="AI8" s="15" t="str">
        <x:v>C++；ROS；Python</x:v>
      </x:c>
      <x:c r="AJ8" s="15" t="str">
        <x:v>供应商产品册</x:v>
      </x:c>
      <x:c r="AK8" s="15" t="str">
        <x:v>300mm升降；负载包含末端</x:v>
      </x:c>
    </x:row>
    <x:row r="9" ht="34" customHeight="1">
      <x:c r="A9" s="15" t="str">
        <x:v>zdl_l1</x:v>
      </x:c>
      <x:c r="B9" s="15" t="str">
        <x:v>智动力</x:v>
      </x:c>
      <x:c r="C9" s="15" t="str">
        <x:v>L1 灵骏系列</x:v>
      </x:c>
      <x:c r="D9" s="15" t="str">
        <x:v>轻量移动双臂本体</x:v>
      </x:c>
      <x:c r="E9" s="15" t="str">
        <x:v>供应商产品资料</x:v>
      </x:c>
      <x:c r="F9" s="15" t="n">
        <x:v>15</x:v>
      </x:c>
      <x:c r="G9" s="15" t="n">
        <x:v>6</x:v>
      </x:c>
      <x:c r="H9" s="15" t="n">
        <x:v>1</x:v>
      </x:c>
      <x:c r="I9" s="15"/>
      <x:c r="J9" s="15"/>
      <x:c r="K9" s="15" t="str">
        <x:v>差速轮式底盘</x:v>
      </x:c>
      <x:c r="L9" s="15" t="str">
        <x:v>否</x:v>
      </x:c>
      <x:c r="M9" s="15" t="n">
        <x:v>1.5</x:v>
      </x:c>
      <x:c r="N9" s="15" t="n">
        <x:v>1280</x:v>
      </x:c>
      <x:c r="O9" s="15" t="n">
        <x:v>1280</x:v>
      </x:c>
      <x:c r="P9" s="15" t="n">
        <x:v>580</x:v>
      </x:c>
      <x:c r="Q9" s="15"/>
      <x:c r="R9" s="15" t="n">
        <x:v>40</x:v>
      </x:c>
      <x:c r="S9" s="15" t="n">
        <x:v>600</x:v>
      </x:c>
      <x:c r="T9" s="15"/>
      <x:c r="U9" s="15" t="n">
        <x:v>1.5</x:v>
      </x:c>
      <x:c r="V9" s="15"/>
      <x:c r="W9" s="15"/>
      <x:c r="X9" s="15"/>
      <x:c r="Y9" s="15" t="str"/>
      <x:c r="Z9" s="15"/>
      <x:c r="AA9" s="15"/>
      <x:c r="AB9" s="15" t="str">
        <x:v>未公开</x:v>
      </x:c>
      <x:c r="AC9" s="15"/>
      <x:c r="AD9" s="15"/>
      <x:c r="AE9" s="15" t="str">
        <x:v>RK3588 6 TOPS</x:v>
      </x:c>
      <x:c r="AF9" s="15" t="str">
        <x:v>4-6</x:v>
      </x:c>
      <x:c r="AG9" s="15" t="str">
        <x:v>IP40</x:v>
      </x:c>
      <x:c r="AH9" s="15" t="str">
        <x:v>七自由度灵巧手或夹爪</x:v>
      </x:c>
      <x:c r="AI9" s="15" t="str">
        <x:v>C++；ROS；Python</x:v>
      </x:c>
      <x:c r="AJ9" s="15" t="str">
        <x:v>供应商产品册</x:v>
      </x:c>
      <x:c r="AK9" s="15" t="str">
        <x:v>无长行程升降；负载较低</x:v>
      </x:c>
    </x:row>
    <x:row r="10" ht="34" customHeight="1">
      <x:c r="A10" s="15" t="str">
        <x:v>zdl_z1</x:v>
      </x:c>
      <x:c r="B10" s="15" t="str">
        <x:v>智动力</x:v>
      </x:c>
      <x:c r="C10" s="15" t="str">
        <x:v>Z1</x:v>
      </x:c>
      <x:c r="D10" s="15" t="str">
        <x:v>移动双臂本体/SDK平台</x:v>
      </x:c>
      <x:c r="E10" s="15" t="str">
        <x:v>开发手册r26.6</x:v>
      </x:c>
      <x:c r="F10" s="15"/>
      <x:c r="G10" s="15" t="n">
        <x:v>7</x:v>
      </x:c>
      <x:c r="H10" s="15" t="n">
        <x:v>4</x:v>
      </x:c>
      <x:c r="I10" s="15" t="n">
        <x:v>2</x:v>
      </x:c>
      <x:c r="J10" s="15" t="n">
        <x:v>2</x:v>
      </x:c>
      <x:c r="K10" s="15" t="str">
        <x:v>双轮差速底盘</x:v>
      </x:c>
      <x:c r="L10" s="15" t="str">
        <x:v>否</x:v>
      </x:c>
      <x:c r="M10" s="15"/>
      <x:c r="N10" s="15"/>
      <x:c r="O10" s="15"/>
      <x:c r="P10" s="15"/>
      <x:c r="Q10" s="15"/>
      <x:c r="R10" s="15"/>
      <x:c r="S10" s="15"/>
      <x:c r="T10" s="15"/>
      <x:c r="U10" s="15"/>
      <x:c r="V10" s="15"/>
      <x:c r="W10" s="15"/>
      <x:c r="X10" s="15"/>
      <x:c r="Y10" s="15" t="str"/>
      <x:c r="Z10" s="15"/>
      <x:c r="AA10" s="15"/>
      <x:c r="AB10" s="15" t="str">
        <x:v>CSP/CST；笛卡尔阻抗和关节阻抗标记待实现</x:v>
      </x:c>
      <x:c r="AC10" s="15"/>
      <x:c r="AD10" s="15"/>
      <x:c r="AE10" s="15" t="str">
        <x:v>Cerebellum+Orin</x:v>
      </x:c>
      <x:c r="AF10" s="15" t="str"/>
      <x:c r="AG10" s="15" t="str"/>
      <x:c r="AH10" s="15" t="str">
        <x:v>夹爪或灵巧手</x:v>
      </x:c>
      <x:c r="AI10" s="15" t="str">
        <x:v>DDS；C++17；CycloneDDS 0.10.5</x:v>
      </x:c>
      <x:c r="AJ10" s="15" t="str">
        <x:v>供应商开发手册</x:v>
      </x:c>
      <x:c r="AK10" s="15" t="str">
        <x:v>仅有SDK资料；接口命名、矩阵顺序和力矩单位存在待澄清项</x:v>
      </x:c>
    </x:row>
    <x:row r="11" ht="34" customHeight="1">
      <x:c r="A11" s="15" t="str">
        <x:v>unitree_g1d_flagship</x:v>
      </x:c>
      <x:c r="B11" s="15" t="str">
        <x:v>宇树</x:v>
      </x:c>
      <x:c r="C11" s="15" t="str">
        <x:v>Unitree G1-D 旗舰版</x:v>
      </x:c>
      <x:c r="D11" s="15" t="str">
        <x:v>移动双臂本体</x:v>
      </x:c>
      <x:c r="E11" s="15" t="str">
        <x:v>官方产品</x:v>
      </x:c>
      <x:c r="F11" s="15" t="n">
        <x:v>19</x:v>
      </x:c>
      <x:c r="G11" s="15" t="n">
        <x:v>7</x:v>
      </x:c>
      <x:c r="H11" s="15" t="n">
        <x:v>2</x:v>
      </x:c>
      <x:c r="I11" s="15"/>
      <x:c r="J11" s="15" t="n">
        <x:v>2</x:v>
      </x:c>
      <x:c r="K11" s="15" t="str">
        <x:v>双轮差速底盘</x:v>
      </x:c>
      <x:c r="L11" s="15" t="str">
        <x:v>否</x:v>
      </x:c>
      <x:c r="M11" s="15" t="n">
        <x:v>1.5</x:v>
      </x:c>
      <x:c r="N11" s="15" t="n">
        <x:v>1260</x:v>
      </x:c>
      <x:c r="O11" s="15" t="n">
        <x:v>1680</x:v>
      </x:c>
      <x:c r="P11" s="15" t="n">
        <x:v>525</x:v>
      </x:c>
      <x:c r="Q11" s="15" t="n">
        <x:v>570</x:v>
      </x:c>
      <x:c r="R11" s="15" t="n">
        <x:v>90</x:v>
      </x:c>
      <x:c r="S11" s="15"/>
      <x:c r="T11" s="15"/>
      <x:c r="U11" s="15" t="n">
        <x:v>3</x:v>
      </x:c>
      <x:c r="V11" s="15"/>
      <x:c r="W11" s="15"/>
      <x:c r="X11" s="15"/>
      <x:c r="Y11" s="15" t="str"/>
      <x:c r="Z11" s="15"/>
      <x:c r="AA11" s="15"/>
      <x:c r="AB11" s="15" t="str">
        <x:v>未公开</x:v>
      </x:c>
      <x:c r="AC11" s="15"/>
      <x:c r="AD11" s="15"/>
      <x:c r="AE11" s="15" t="str">
        <x:v>8核CPU；可选Orin NX 100 TOPS</x:v>
      </x:c>
      <x:c r="AF11" s="15" t="str">
        <x:v>6</x:v>
      </x:c>
      <x:c r="AG11" s="15" t="str"/>
      <x:c r="AH11" s="15" t="str">
        <x:v>二指夹爪或三/五指灵巧手</x:v>
      </x:c>
      <x:c r="AI11" s="15" t="str">
        <x:v>支持二次开发</x:v>
      </x:c>
      <x:c r="AJ11" s="15" t="str">
        <x:v>官方网站</x:v>
      </x:c>
      <x:c r="AK11" s="15" t="str">
        <x:v>差速底盘支持原地旋转，不支持纯横移</x:v>
      </x:c>
    </x:row>
    <x:row r="12" ht="34" customHeight="1">
      <x:c r="A12" s="15" t="str">
        <x:v>unitree_g1d_standard</x:v>
      </x:c>
      <x:c r="B12" s="15" t="str">
        <x:v>宇树</x:v>
      </x:c>
      <x:c r="C12" s="15" t="str">
        <x:v>Unitree G1-D 通用版</x:v>
      </x:c>
      <x:c r="D12" s="15" t="str">
        <x:v>固定/可搬运双臂平台</x:v>
      </x:c>
      <x:c r="E12" s="15" t="str">
        <x:v>官方产品</x:v>
      </x:c>
      <x:c r="F12" s="15" t="n">
        <x:v>17</x:v>
      </x:c>
      <x:c r="G12" s="15" t="n">
        <x:v>7</x:v>
      </x:c>
      <x:c r="H12" s="15" t="n">
        <x:v>2</x:v>
      </x:c>
      <x:c r="I12" s="15"/>
      <x:c r="J12" s="15" t="n">
        <x:v>0</x:v>
      </x:c>
      <x:c r="K12" s="15" t="str">
        <x:v>无主动移动参数</x:v>
      </x:c>
      <x:c r="L12" s="15" t="str">
        <x:v>否</x:v>
      </x:c>
      <x:c r="M12" s="15"/>
      <x:c r="N12" s="15" t="n">
        <x:v>1260</x:v>
      </x:c>
      <x:c r="O12" s="15" t="n">
        <x:v>1680</x:v>
      </x:c>
      <x:c r="P12" s="15" t="n">
        <x:v>620</x:v>
      </x:c>
      <x:c r="Q12" s="15" t="n">
        <x:v>620</x:v>
      </x:c>
      <x:c r="R12" s="15" t="n">
        <x:v>90</x:v>
      </x:c>
      <x:c r="S12" s="15"/>
      <x:c r="T12" s="15"/>
      <x:c r="U12" s="15" t="n">
        <x:v>3</x:v>
      </x:c>
      <x:c r="V12" s="15"/>
      <x:c r="W12" s="15"/>
      <x:c r="X12" s="15"/>
      <x:c r="Y12" s="15" t="str"/>
      <x:c r="Z12" s="15"/>
      <x:c r="AA12" s="15"/>
      <x:c r="AB12" s="15" t="str">
        <x:v>未公开</x:v>
      </x:c>
      <x:c r="AC12" s="15"/>
      <x:c r="AD12" s="15"/>
      <x:c r="AE12" s="15" t="str">
        <x:v>8核CPU；可选Orin NX 100 TOPS</x:v>
      </x:c>
      <x:c r="AF12" s="15" t="str">
        <x:v>2</x:v>
      </x:c>
      <x:c r="AG12" s="15" t="str"/>
      <x:c r="AH12" s="15" t="str">
        <x:v>二指夹爪或三/五指灵巧手</x:v>
      </x:c>
      <x:c r="AI12" s="15" t="str">
        <x:v>支持二次开发</x:v>
      </x:c>
      <x:c r="AJ12" s="15" t="str">
        <x:v>官方网站</x:v>
      </x:c>
      <x:c r="AK12" s="15" t="str">
        <x:v>官方参数表未给出主动底盘速度与驱动形式</x:v>
      </x:c>
    </x:row>
    <x:row r="13" ht="34" customHeight="1">
      <x:c r="A13" s="15" t="str">
        <x:v>tianji_marvin_m6ccs</x:v>
      </x:c>
      <x:c r="B13" s="15" t="str">
        <x:v>天机智能</x:v>
      </x:c>
      <x:c r="C13" s="15" t="str">
        <x:v>Marvin M6 CCS</x:v>
      </x:c>
      <x:c r="D13" s="15" t="str">
        <x:v>双臂模块</x:v>
      </x:c>
      <x:c r="E13" s="15" t="str">
        <x:v>供应商产品资料</x:v>
      </x:c>
      <x:c r="F13" s="15" t="n">
        <x:v>14</x:v>
      </x:c>
      <x:c r="G13" s="15" t="n">
        <x:v>7</x:v>
      </x:c>
      <x:c r="H13" s="15"/>
      <x:c r="I13" s="15"/>
      <x:c r="J13" s="15"/>
      <x:c r="K13" s="15" t="str">
        <x:v>需集成第三方底盘</x:v>
      </x:c>
      <x:c r="L13" s="15" t="str">
        <x:v>待集成</x:v>
      </x:c>
      <x:c r="M13" s="15"/>
      <x:c r="N13" s="15"/>
      <x:c r="O13" s="15"/>
      <x:c r="P13" s="15"/>
      <x:c r="Q13" s="15"/>
      <x:c r="R13" s="15" t="n">
        <x:v>11</x:v>
      </x:c>
      <x:c r="S13" s="15" t="n">
        <x:v>696</x:v>
      </x:c>
      <x:c r="T13" s="15"/>
      <x:c r="U13" s="15" t="n">
        <x:v>6</x:v>
      </x:c>
      <x:c r="V13" s="15"/>
      <x:c r="W13" s="15"/>
      <x:c r="X13" s="15"/>
      <x:c r="Y13" s="15" t="str"/>
      <x:c r="Z13" s="15" t="n">
        <x:v>0.03</x:v>
      </x:c>
      <x:c r="AA13" s="15"/>
      <x:c r="AB13" s="15" t="str">
        <x:v>全关节扭矩传感和阻抗控制；作用力重复精度≤0.15N/0.05N·m</x:v>
      </x:c>
      <x:c r="AC13" s="15"/>
      <x:c r="AD13" s="15" t="n">
        <x:v>8000</x:v>
      </x:c>
      <x:c r="AE13" s="15" t="str"/>
      <x:c r="AF13" s="15" t="str">
        <x:v>外部供电</x:v>
      </x:c>
      <x:c r="AG13" s="15" t="str">
        <x:v>IP54</x:v>
      </x:c>
      <x:c r="AH13" s="15" t="str">
        <x:v>末端执行器由集成方配置</x:v>
      </x:c>
      <x:c r="AI13" s="15" t="str">
        <x:v>EtherCAT；CAN-FD；RS485；最高1kHz SDK</x:v>
      </x:c>
      <x:c r="AJ13" s="15" t="str">
        <x:v>供应商产品册</x:v>
      </x:c>
      <x:c r="AK13" s="15" t="str">
        <x:v>单臂参数；不含标准移动底盘，不参加移动本体排名</x:v>
      </x:c>
    </x:row>
    <x:row r="14" ht="34" customHeight="1">
      <x:c r="A14" s="15" t="str">
        <x:v>boston_atlas_2026</x:v>
      </x:c>
      <x:c r="B14" s="15" t="str">
        <x:v>Boston Dynamics</x:v>
      </x:c>
      <x:c r="C14" s="15" t="str">
        <x:v>Atlas</x:v>
      </x:c>
      <x:c r="D14" s="15" t="str">
        <x:v>全尺寸双足工业人形</x:v>
      </x:c>
      <x:c r="E14" s="15" t="str">
        <x:v>早期客户导入</x:v>
      </x:c>
      <x:c r="F14" s="15" t="n">
        <x:v>56</x:v>
      </x:c>
      <x:c r="G14" s="15"/>
      <x:c r="H14" s="15"/>
      <x:c r="I14" s="15"/>
      <x:c r="J14" s="15"/>
      <x:c r="K14" s="15" t="str">
        <x:v>双足全电驱</x:v>
      </x:c>
      <x:c r="L14" s="15" t="str">
        <x:v>步态可侧移；连续工业横移待验证</x:v>
      </x:c>
      <x:c r="M14" s="15"/>
      <x:c r="N14" s="15" t="n">
        <x:v>1900</x:v>
      </x:c>
      <x:c r="O14" s="15" t="n">
        <x:v>1900</x:v>
      </x:c>
      <x:c r="P14" s="15"/>
      <x:c r="Q14" s="15"/>
      <x:c r="R14" s="15" t="n">
        <x:v>90</x:v>
      </x:c>
      <x:c r="S14" s="15"/>
      <x:c r="T14" s="15"/>
      <x:c r="U14" s="15"/>
      <x:c r="V14" s="15"/>
      <x:c r="W14" s="15" t="n">
        <x:v>30</x:v>
      </x:c>
      <x:c r="X14" s="15" t="n">
        <x:v>50</x:v>
      </x:c>
      <x:c r="Y14" s="15" t="str"/>
      <x:c r="Z14" s="15"/>
      <x:c r="AA14" s="15"/>
      <x:c r="AB14" s="15" t="str">
        <x:v>触觉感知；全身力控量化指标未公开</x:v>
      </x:c>
      <x:c r="AC14" s="15"/>
      <x:c r="AD14" s="15"/>
      <x:c r="AE14" s="15" t="str"/>
      <x:c r="AF14" s="15" t="str">
        <x:v>4</x:v>
      </x:c>
      <x:c r="AG14" s="15" t="str">
        <x:v>IP67</x:v>
      </x:c>
      <x:c r="AH14" s="15" t="str">
        <x:v>工业任务手/夹具未披露</x:v>
      </x:c>
      <x:c r="AI14" s="15" t="str">
        <x:v>Orbit可对接MES/WMS；支持条码和工作流集成</x:v>
      </x:c>
      <x:c r="AJ14" s="15" t="str">
        <x:v>官方网站</x:v>
      </x:c>
      <x:c r="AK14" s="15" t="str">
        <x:v>全身Reach 2.3m；持续负载30kg/瞬时50kg；自动换电；仅面向选择性早期客户</x:v>
      </x:c>
    </x:row>
    <x:row r="15" ht="34" customHeight="1">
      <x:c r="A15" s="15" t="str">
        <x:v>figure_03</x:v>
      </x:c>
      <x:c r="B15" s="15" t="str">
        <x:v>Figure AI</x:v>
      </x:c>
      <x:c r="C15" s="15" t="str">
        <x:v>Figure 03</x:v>
      </x:c>
      <x:c r="D15" s="15" t="str">
        <x:v>全尺寸双足通用人形</x:v>
      </x:c>
      <x:c r="E15" s="15" t="str">
        <x:v>量产爬坡/客户验证</x:v>
      </x:c>
      <x:c r="F15" s="15"/>
      <x:c r="G15" s="15"/>
      <x:c r="H15" s="15"/>
      <x:c r="I15" s="15"/>
      <x:c r="J15" s="15"/>
      <x:c r="K15" s="15" t="str">
        <x:v>双足电驱</x:v>
      </x:c>
      <x:c r="L15" s="15" t="str">
        <x:v>步态可侧移；工业横移精度未披露</x:v>
      </x:c>
      <x:c r="M15" s="15" t="n">
        <x:v>1.2</x:v>
      </x:c>
      <x:c r="N15" s="15" t="n">
        <x:v>1727</x:v>
      </x:c>
      <x:c r="O15" s="15" t="n">
        <x:v>1727</x:v>
      </x:c>
      <x:c r="P15" s="15"/>
      <x:c r="Q15" s="15"/>
      <x:c r="R15" s="15" t="n">
        <x:v>61</x:v>
      </x:c>
      <x:c r="S15" s="15"/>
      <x:c r="T15" s="15"/>
      <x:c r="U15" s="15"/>
      <x:c r="V15" s="15"/>
      <x:c r="W15" s="15" t="n">
        <x:v>20</x:v>
      </x:c>
      <x:c r="X15" s="15"/>
      <x:c r="Y15" s="15" t="str"/>
      <x:c r="Z15" s="15"/>
      <x:c r="AA15" s="15"/>
      <x:c r="AB15" s="15" t="str">
        <x:v>柔顺触觉手；指尖可检测约3g压力</x:v>
      </x:c>
      <x:c r="AC15" s="15"/>
      <x:c r="AD15" s="15"/>
      <x:c r="AE15" s="15" t="str"/>
      <x:c r="AF15" s="15" t="str">
        <x:v>5</x:v>
      </x:c>
      <x:c r="AG15" s="15" t="str"/>
      <x:c r="AH15" s="15" t="str">
        <x:v>自研触觉灵巧手</x:v>
      </x:c>
      <x:c r="AI15" s="15" t="str">
        <x:v>Helix专有系统；10Gbps毫米波数据卸载；无公开工业SDK</x:v>
      </x:c>
      <x:c r="AJ15" s="15" t="str">
        <x:v>官方网站</x:v>
      </x:c>
      <x:c r="AK15" s="15" t="str">
        <x:v>2.3kWh电池；2kW无线充电；UN38.3；BMW生产验证；接口和采购方式不公开</x:v>
      </x:c>
    </x:row>
    <x:row r="16" ht="34" customHeight="1">
      <x:c r="A16" s="15" t="str">
        <x:v>tesla_optimus</x:v>
      </x:c>
      <x:c r="B16" s="15" t="str">
        <x:v>Tesla</x:v>
      </x:c>
      <x:c r="C16" s="15" t="str">
        <x:v>Optimus</x:v>
      </x:c>
      <x:c r="D16" s="15" t="str">
        <x:v>全尺寸双足通用人形</x:v>
      </x:c>
      <x:c r="E16" s="15" t="str">
        <x:v>产线建设/内部验证</x:v>
      </x:c>
      <x:c r="F16" s="15"/>
      <x:c r="G16" s="15"/>
      <x:c r="H16" s="15"/>
      <x:c r="I16" s="15"/>
      <x:c r="J16" s="15"/>
      <x:c r="K16" s="15" t="str">
        <x:v>双足电驱</x:v>
      </x:c>
      <x:c r="L16" s="15" t="str">
        <x:v>工业横移能力与精度未披露</x:v>
      </x:c>
      <x:c r="M16" s="15"/>
      <x:c r="N16" s="15"/>
      <x:c r="O16" s="15"/>
      <x:c r="P16" s="15"/>
      <x:c r="Q16" s="15"/>
      <x:c r="R16" s="15"/>
      <x:c r="S16" s="15"/>
      <x:c r="T16" s="15"/>
      <x:c r="U16" s="15"/>
      <x:c r="V16" s="15"/>
      <x:c r="W16" s="15"/>
      <x:c r="X16" s="15"/>
      <x:c r="Y16" s="15" t="str"/>
      <x:c r="Z16" s="15"/>
      <x:c r="AA16" s="15"/>
      <x:c r="AB16" s="15" t="str">
        <x:v>未公开</x:v>
      </x:c>
      <x:c r="AC16" s="15"/>
      <x:c r="AD16" s="15"/>
      <x:c r="AE16" s="15" t="str"/>
      <x:c r="AF16" s="15" t="str"/>
      <x:c r="AG16" s="15" t="str"/>
      <x:c r="AH16" s="15" t="str">
        <x:v>灵巧手</x:v>
      </x:c>
      <x:c r="AI16" s="15" t="str">
        <x:v>专有软硬件栈；未公开第三方SDK</x:v>
      </x:c>
      <x:c r="AJ16" s="15" t="str">
        <x:v>官方网站+投资者披露</x:v>
      </x:c>
      <x:c r="AK16" s="15" t="str">
        <x:v>官方当前页面未披露身高负载续航自由度等可采购规格；不具备供应商选型基线</x:v>
      </x:c>
    </x:row>
    <x:row r="17" ht="34" customHeight="1">
      <x:c r="A17" s="15" t="str">
        <x:v>limx_oli_edu</x:v>
      </x:c>
      <x:c r="B17" s="15" t="str">
        <x:v>逐际动力</x:v>
      </x:c>
      <x:c r="C17" s="15" t="str">
        <x:v>LimX Oli EDU</x:v>
      </x:c>
      <x:c r="D17" s="15" t="str">
        <x:v>全尺寸双足开发平台</x:v>
      </x:c>
      <x:c r="E17" s="15" t="str">
        <x:v>可购/持续迭代</x:v>
      </x:c>
      <x:c r="F17" s="15" t="n">
        <x:v>31</x:v>
      </x:c>
      <x:c r="G17" s="15" t="n">
        <x:v>7</x:v>
      </x:c>
      <x:c r="H17" s="15" t="n">
        <x:v>3</x:v>
      </x:c>
      <x:c r="I17" s="15" t="n">
        <x:v>2</x:v>
      </x:c>
      <x:c r="J17" s="15"/>
      <x:c r="K17" s="15" t="str">
        <x:v>双足步行</x:v>
      </x:c>
      <x:c r="L17" s="15" t="str">
        <x:v>步态可侧移；连续贴线横移待实测</x:v>
      </x:c>
      <x:c r="M17" s="15" t="n">
        <x:v>1.389</x:v>
      </x:c>
      <x:c r="N17" s="15" t="n">
        <x:v>1650</x:v>
      </x:c>
      <x:c r="O17" s="15" t="n">
        <x:v>1650</x:v>
      </x:c>
      <x:c r="P17" s="15" t="n">
        <x:v>550</x:v>
      </x:c>
      <x:c r="Q17" s="15"/>
      <x:c r="R17" s="15" t="n">
        <x:v>55</x:v>
      </x:c>
      <x:c r="S17" s="15" t="n">
        <x:v>700</x:v>
      </x:c>
      <x:c r="T17" s="15"/>
      <x:c r="U17" s="15"/>
      <x:c r="V17" s="15" t="n">
        <x:v>3</x:v>
      </x:c>
      <x:c r="W17" s="15"/>
      <x:c r="X17" s="15"/>
      <x:c r="Y17" s="15" t="str"/>
      <x:c r="Z17" s="15"/>
      <x:c r="AA17" s="15"/>
      <x:c r="AB17" s="15" t="str">
        <x:v>未公开</x:v>
      </x:c>
      <x:c r="AC17" s="15"/>
      <x:c r="AD17" s="15"/>
      <x:c r="AE17" s="15" t="str">
        <x:v>RK3588运控+Orin NX 157TOPS感知</x:v>
      </x:c>
      <x:c r="AF17" s="15" t="str">
        <x:v>2</x:v>
      </x:c>
      <x:c r="AG17" s="15" t="str"/>
      <x:c r="AH17" s="15" t="str">
        <x:v>二指夹爪或五指灵巧手</x:v>
      </x:c>
      <x:c r="AI17" s="15" t="str">
        <x:v>WiFi6；蓝牙；USB3；千兆网；Type-C；遥控/传感/底层和上层运动API</x:v>
      </x:c>
      <x:c r="AJ17" s="15" t="str">
        <x:v>官方网站</x:v>
      </x:c>
      <x:c r="AK17" s="15" t="str">
        <x:v>约2h续航；9500mAh抽屉式电池；最大负载3kg；开放度较好但工业精度和认证未公开</x:v>
      </x:c>
    </x:row>
    <x:row r="18" ht="34" customHeight="1">
      <x:c r="A18" s="15" t="str">
        <x:v>limx_tron2_dualarm</x:v>
      </x:c>
      <x:c r="B18" s="15" t="str">
        <x:v>逐际动力</x:v>
      </x:c>
      <x:c r="C18" s="15" t="str">
        <x:v>TRON 2 双臂形态</x:v>
      </x:c>
      <x:c r="D18" s="15" t="str">
        <x:v>多形态双臂移动平台</x:v>
      </x:c>
      <x:c r="E18" s="15" t="str">
        <x:v>可购/持续迭代</x:v>
      </x:c>
      <x:c r="F18" s="15"/>
      <x:c r="G18" s="15" t="n">
        <x:v>7</x:v>
      </x:c>
      <x:c r="H18" s="15"/>
      <x:c r="I18" s="15" t="n">
        <x:v>2</x:v>
      </x:c>
      <x:c r="J18" s="15"/>
      <x:c r="K18" s="15" t="str">
        <x:v>双足/双轮足可换形</x:v>
      </x:c>
      <x:c r="L18" s="15" t="str">
        <x:v>官方称四向移动；纯横移机制待确认</x:v>
      </x:c>
      <x:c r="M18" s="15" t="n">
        <x:v>5</x:v>
      </x:c>
      <x:c r="N18" s="15"/>
      <x:c r="O18" s="15"/>
      <x:c r="P18" s="15"/>
      <x:c r="Q18" s="15"/>
      <x:c r="R18" s="15"/>
      <x:c r="S18" s="15"/>
      <x:c r="T18" s="15"/>
      <x:c r="U18" s="15" t="n">
        <x:v>3</x:v>
      </x:c>
      <x:c r="V18" s="15" t="n">
        <x:v>5</x:v>
      </x:c>
      <x:c r="W18" s="15"/>
      <x:c r="X18" s="15"/>
      <x:c r="Y18" s="15" t="str"/>
      <x:c r="Z18" s="15" t="n">
        <x:v>0.5</x:v>
      </x:c>
      <x:c r="AA18" s="15"/>
      <x:c r="AB18" s="15" t="str">
        <x:v>双臂安全边界；力控和力传感量化未公开</x:v>
      </x:c>
      <x:c r="AC18" s="15"/>
      <x:c r="AD18" s="15"/>
      <x:c r="AE18" s="15" t="str">
        <x:v>Intel Core Ultra拓展模块</x:v>
      </x:c>
      <x:c r="AF18" s="15" t="str"/>
      <x:c r="AG18" s="15" t="str"/>
      <x:c r="AH18" s="15" t="str">
        <x:v>夹爪或灵巧手</x:v>
      </x:c>
      <x:c r="AI18" s="15" t="str">
        <x:v>Python；C++；ROS1/ROS2；以太网；USB3；EtherCAT×2；RS485；多电压供电</x:v>
      </x:c>
      <x:c r="AJ18" s="15" t="str">
        <x:v>官方网站</x:v>
      </x:c>
      <x:c r="AK18" s="15" t="str">
        <x:v>双轮足速度3至5m/s；重复定位±0.5mm；遥操延迟100ms；更偏研发和多形态验证</x:v>
      </x:c>
    </x:row>
    <x:row r="19" ht="34" customHeight="1">
      <x:c r="A19" s="15" t="str">
        <x:v>galaxea_r1pro_2026</x:v>
      </x:c>
      <x:c r="B19" s="15" t="str">
        <x:v>星海图</x:v>
      </x:c>
      <x:c r="C19" s="15" t="str">
        <x:v>Galaxea R1 Pro 2026</x:v>
      </x:c>
      <x:c r="D19" s="15" t="str">
        <x:v>轮式双臂仿人形本体</x:v>
      </x:c>
      <x:c r="E19" s="15" t="str">
        <x:v>现货/科研与行业落地</x:v>
      </x:c>
      <x:c r="F19" s="15" t="n">
        <x:v>24</x:v>
      </x:c>
      <x:c r="G19" s="15" t="n">
        <x:v>7</x:v>
      </x:c>
      <x:c r="H19" s="15" t="n">
        <x:v>4</x:v>
      </x:c>
      <x:c r="I19" s="15"/>
      <x:c r="J19" s="15" t="n">
        <x:v>3</x:v>
      </x:c>
      <x:c r="K19" s="15" t="str">
        <x:v>三舵轮360度全向底盘</x:v>
      </x:c>
      <x:c r="L19" s="15" t="str">
        <x:v>是</x:v>
      </x:c>
      <x:c r="M19" s="15" t="n">
        <x:v>1.5</x:v>
      </x:c>
      <x:c r="N19" s="15" t="n">
        <x:v>1700</x:v>
      </x:c>
      <x:c r="O19" s="15" t="n">
        <x:v>1700</x:v>
      </x:c>
      <x:c r="P19" s="15" t="n">
        <x:v>675</x:v>
      </x:c>
      <x:c r="Q19" s="15" t="n">
        <x:v>636</x:v>
      </x:c>
      <x:c r="R19" s="15" t="n">
        <x:v>126</x:v>
      </x:c>
      <x:c r="S19" s="15" t="n">
        <x:v>620</x:v>
      </x:c>
      <x:c r="T19" s="15"/>
      <x:c r="U19" s="15" t="n">
        <x:v>3.5</x:v>
      </x:c>
      <x:c r="V19" s="15" t="n">
        <x:v>5</x:v>
      </x:c>
      <x:c r="W19" s="15"/>
      <x:c r="X19" s="15"/>
      <x:c r="Y19" s="15" t="str"/>
      <x:c r="Z19" s="15" t="n">
        <x:v>0.5</x:v>
      </x:c>
      <x:c r="AA19" s="15"/>
      <x:c r="AB19" s="15" t="str">
        <x:v>七轴仿人力控机械臂；力传感为选配</x:v>
      </x:c>
      <x:c r="AC19" s="15"/>
      <x:c r="AD19" s="15"/>
      <x:c r="AE19" s="15" t="str">
        <x:v>Jetson AGX Orin 32GB 200TOPS</x:v>
      </x:c>
      <x:c r="AF19" s="15" t="str"/>
      <x:c r="AG19" s="15" t="str"/>
      <x:c r="AH19" s="15" t="str">
        <x:v>电动平行夹爪</x:v>
      </x:c>
      <x:c r="AI19" s="15" t="str">
        <x:v>USB3；HDMI；千兆以太网；WiFi6；蓝牙</x:v>
      </x:c>
      <x:c r="AJ19" s="15" t="str">
        <x:v>官方产品页+开发文档</x:v>
      </x:c>
      <x:c r="AK19" s="15" t="str">
        <x:v>垂直工作空间0至2m；带夹爪水平半径861mm；夹持力额定150N峰值350N；A2机械臂无制动器需重点评估断电下坠</x:v>
      </x:c>
    </x:row>
    <x:row r="20" ht="34" customHeight="1">
      <x:c r="A20" s="15" t="str">
        <x:v>tars_a1</x:v>
      </x:c>
      <x:c r="B20" s="15" t="str">
        <x:v>它石智航</x:v>
      </x:c>
      <x:c r="C20" s="15" t="str">
        <x:v>TARS A1</x:v>
      </x:c>
      <x:c r="D20" s="15" t="str">
        <x:v>轮式工业具身本体</x:v>
      </x:c>
      <x:c r="E20" s="15" t="str">
        <x:v>产线验证/规模部署计划</x:v>
      </x:c>
      <x:c r="F20" s="15"/>
      <x:c r="G20" s="15"/>
      <x:c r="H20" s="15"/>
      <x:c r="I20" s="15"/>
      <x:c r="J20" s="15"/>
      <x:c r="K20" s="15" t="str">
        <x:v>轮式底盘（轮系未公开）</x:v>
      </x:c>
      <x:c r="L20" s="15" t="str">
        <x:v>待确认</x:v>
      </x:c>
      <x:c r="M20" s="15"/>
      <x:c r="N20" s="15"/>
      <x:c r="O20" s="15"/>
      <x:c r="P20" s="15"/>
      <x:c r="Q20" s="15"/>
      <x:c r="R20" s="15"/>
      <x:c r="S20" s="15"/>
      <x:c r="T20" s="15"/>
      <x:c r="U20" s="15"/>
      <x:c r="V20" s="15"/>
      <x:c r="W20" s="15"/>
      <x:c r="X20" s="15"/>
      <x:c r="Y20" s="15" t="str"/>
      <x:c r="Z20" s="15"/>
      <x:c r="AA20" s="15"/>
      <x:c r="AB20" s="15" t="str">
        <x:v>线束亚毫米装配有公开任务证据；本体力控指标未公开</x:v>
      </x:c>
      <x:c r="AC20" s="15"/>
      <x:c r="AD20" s="15"/>
      <x:c r="AE20" s="15" t="str"/>
      <x:c r="AF20" s="15" t="str"/>
      <x:c r="AG20" s="15" t="str"/>
      <x:c r="AH20" s="15" t="str">
        <x:v>定制夹爪或DexHand</x:v>
      </x:c>
      <x:c r="AI20" s="15" t="str">
        <x:v>SDK与末端电气接口未公开</x:v>
      </x:c>
      <x:c r="AJ20" s="15" t="str">
        <x:v>客户/政府/吉尼斯+内部沟通</x:v>
      </x:c>
      <x:c r="AK20" s="15" t="str">
        <x:v>公开完成105次每小时亚毫米线束装配纪录；内部沟通显示规模部署验收仍有差距且前期工装耗材投入高</x:v>
      </x:c>
    </x:row>
  </x:sheetData>
  <x:mergeCells>
    <x:mergeCell ref="A1:AK1"/>
  </x:mergeCells>
  <x:pageMargins left="0.7" right="0.7" top="0.75" bottom="0.75" header="0.3" footer="0.3"/>
  <x:tableParts count="1">
    <x:tablePart xmlns:r="http://schemas.openxmlformats.org/officeDocument/2006/relationships" r:id="R47646d5dd2334ada"/>
  </x:tableParts>
</x:worksheet>
</file>

<file path=xl/worksheets/sheet5.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18" hidden="0" customWidth="1"/>
    <x:col min="2" max="2" width="12" hidden="0" customWidth="1"/>
    <x:col min="3" max="3" width="15" hidden="0" customWidth="1"/>
    <x:col min="4" max="4" width="52" hidden="0" customWidth="1"/>
    <x:col min="5" max="5" width="16" hidden="0" customWidth="1"/>
    <x:col min="6" max="6" width="40" hidden="0" customWidth="1"/>
    <x:col min="7" max="7" width="18" hidden="0" customWidth="1"/>
    <x:col min="8" max="8" width="12" hidden="0" customWidth="1"/>
    <x:col min="9" max="9" width="16" hidden="0" customWidth="1"/>
    <x:col min="10" max="10" width="24" hidden="0" customWidth="1"/>
  </x:cols>
  <x:sheetData>
    <x:row r="1">
      <x:c r="A1" s="5" t="str">
        <x:v>供应商问题与 POC 清单｜优先关闭硬门槛、安全和接口风险</x:v>
      </x:c>
      <x:c r="B1" s="5"/>
      <x:c r="C1" s="5"/>
      <x:c r="D1" s="5"/>
      <x:c r="E1" s="5"/>
      <x:c r="F1" s="5"/>
      <x:c r="G1" s="5"/>
      <x:c r="H1" s="5"/>
      <x:c r="I1" s="5"/>
      <x:c r="J1" s="5"/>
      <x:c r="K1" s="1"/>
      <x:c r="L1" s="1"/>
      <x:c r="M1" s="1"/>
      <x:c r="N1" s="1"/>
      <x:c r="O1" s="1"/>
      <x:c r="P1" s="1"/>
      <x:c r="Q1" s="1"/>
      <x:c r="R1" s="1"/>
      <x:c r="S1" s="1"/>
      <x:c r="T1" s="1"/>
      <x:c r="U1" s="1"/>
      <x:c r="V1" s="1"/>
      <x:c r="W1" s="1"/>
      <x:c r="X1" s="1"/>
      <x:c r="Y1" s="1"/>
      <x:c r="Z1" s="1"/>
      <x:c r="AA1" s="1"/>
      <x:c r="AB1" s="1"/>
      <x:c r="AC1" s="1"/>
      <x:c r="AD1" s="1"/>
      <x:c r="AE1" s="1"/>
      <x:c r="AF1" s="1"/>
      <x:c r="AG1" s="1"/>
      <x:c r="AH1" s="1"/>
      <x:c r="AI1" s="1"/>
      <x:c r="AJ1" s="1"/>
      <x:c r="AK1" s="1"/>
      <x:c r="AL1" s="1"/>
      <x:c r="AM1" s="1"/>
      <x:c r="AN1" s="1"/>
      <x:c r="AO1" s="1"/>
      <x:c r="AP1" s="1"/>
      <x:c r="AQ1" s="1"/>
      <x:c r="AR1" s="1"/>
      <x:c r="AS1" s="1"/>
      <x:c r="AT1" s="1"/>
      <x:c r="AU1" s="1"/>
      <x:c r="AV1" s="1"/>
      <x:c r="AW1" s="1"/>
      <x:c r="AX1" s="1"/>
      <x:c r="AY1" s="1"/>
      <x:c r="AZ1" s="1"/>
    </x:row>
    <x:row r="3">
      <x:c r="A3" s="13" t="str">
        <x:v>question_id</x:v>
      </x:c>
      <x:c r="B3" s="13" t="str">
        <x:v>vendor</x:v>
      </x:c>
      <x:c r="C3" s="13" t="str">
        <x:v>model</x:v>
      </x:c>
      <x:c r="D3" s="13" t="str">
        <x:v>priority</x:v>
      </x:c>
      <x:c r="E3" s="13" t="str">
        <x:v>category</x:v>
      </x:c>
      <x:c r="F3" s="13" t="str">
        <x:v>question</x:v>
      </x:c>
      <x:c r="G3" s="13" t="str">
        <x:v>current_evidence</x:v>
      </x:c>
      <x:c r="H3" s="13" t="str">
        <x:v>status</x:v>
      </x:c>
      <x:c r="I3" s="13" t="str">
        <x:v>owner</x:v>
      </x:c>
      <x:c r="J3" s="13" t="str">
        <x:v>due_date</x:v>
      </x:c>
    </x:row>
    <x:row r="4" ht="38" customHeight="1">
      <x:c r="A4" s="15" t="str">
        <x:v>Q001</x:v>
      </x:c>
      <x:c r="B4" s="15" t="str">
        <x:v>智元</x:v>
      </x:c>
      <x:c r="C4" s="15" t="str">
        <x:v>精灵G2</x:v>
      </x:c>
      <x:c r="D4" s="15" t="str">
        <x:v>P0</x:v>
      </x:c>
      <x:c r="E4" s="15" t="str">
        <x:v>底盘</x:v>
      </x:c>
      <x:c r="F4" s="15" t="str">
        <x:v>横移2米时机身航向保持误差和停车回摆是多少</x:v>
      </x:c>
      <x:c r="G4" s="15" t="str">
        <x:v>官方仅给导航精度</x:v>
      </x:c>
      <x:c r="H4" s="15" t="str">
        <x:v>待供应商回复</x:v>
      </x:c>
      <x:c r="I4" s="15" t="str"/>
      <x:c r="J4" s="15" t="str"/>
    </x:row>
    <x:row r="5" ht="38" customHeight="1">
      <x:c r="A5" s="15" t="str">
        <x:v>Q002</x:v>
      </x:c>
      <x:c r="B5" s="15" t="str">
        <x:v>智元</x:v>
      </x:c>
      <x:c r="C5" s="15" t="str">
        <x:v>精灵G2</x:v>
      </x:c>
      <x:c r="D5" s="15" t="str">
        <x:v>P0</x:v>
      </x:c>
      <x:c r="E5" s="15" t="str">
        <x:v>整链路精度</x:v>
      </x:c>
      <x:c r="F5" s="15" t="str">
        <x:v>蟹行停止后视觉重定位加双臂操作的末端误差是多少</x:v>
      </x:c>
      <x:c r="G5" s="15" t="str">
        <x:v>机械臂重复精度不能代表整机移动后精度</x:v>
      </x:c>
      <x:c r="H5" s="15" t="str">
        <x:v>待POC</x:v>
      </x:c>
      <x:c r="I5" s="15" t="str"/>
      <x:c r="J5" s="15" t="str"/>
    </x:row>
    <x:row r="6" ht="38" customHeight="1">
      <x:c r="A6" s="15" t="str">
        <x:v>Q003</x:v>
      </x:c>
      <x:c r="B6" s="15" t="str">
        <x:v>智元</x:v>
      </x:c>
      <x:c r="C6" s="15" t="str">
        <x:v>精灵G2</x:v>
      </x:c>
      <x:c r="D6" s="15" t="str">
        <x:v>P0</x:v>
      </x:c>
      <x:c r="E6" s="15" t="str">
        <x:v>末端接口</x:v>
      </x:c>
      <x:c r="F6" s="15" t="str">
        <x:v>24V末端供电的持续和峰值功率上限是多少</x:v>
      </x:c>
      <x:c r="G6" s="15" t="str">
        <x:v>手册只写24V供电</x:v>
      </x:c>
      <x:c r="H6" s="15" t="str">
        <x:v>待供应商回复</x:v>
      </x:c>
      <x:c r="I6" s="15" t="str"/>
      <x:c r="J6" s="15" t="str"/>
    </x:row>
    <x:row r="7" ht="38" customHeight="1">
      <x:c r="A7" s="15" t="str">
        <x:v>Q004</x:v>
      </x:c>
      <x:c r="B7" s="15" t="str">
        <x:v>智元</x:v>
      </x:c>
      <x:c r="C7" s="15" t="str">
        <x:v>精灵G2</x:v>
      </x:c>
      <x:c r="D7" s="15" t="str">
        <x:v>P1</x:v>
      </x:c>
      <x:c r="E7" s="15" t="str">
        <x:v>工业安全</x:v>
      </x:c>
      <x:c r="F7" s="15" t="str">
        <x:v>整机和双臂防护等级及安全认证是什么</x:v>
      </x:c>
      <x:c r="G7" s="15" t="str">
        <x:v>官方参数表未列IP等级</x:v>
      </x:c>
      <x:c r="H7" s="15" t="str">
        <x:v>待供应商回复</x:v>
      </x:c>
      <x:c r="I7" s="15" t="str"/>
      <x:c r="J7" s="15" t="str"/>
    </x:row>
    <x:row r="8" ht="38" customHeight="1">
      <x:c r="A8" s="15" t="str">
        <x:v>Q005</x:v>
      </x:c>
      <x:c r="B8" s="15" t="str">
        <x:v>智元</x:v>
      </x:c>
      <x:c r="C8" s="15" t="str">
        <x:v>精灵G2</x:v>
      </x:c>
      <x:c r="D8" s="15" t="str">
        <x:v>P1</x:v>
      </x:c>
      <x:c r="E8" s="15" t="str">
        <x:v>网络安全</x:v>
      </x:c>
      <x:c r="F8" s="15" t="str">
        <x:v>能否关闭NFS、临时12345及非必要服务端口</x:v>
      </x:c>
      <x:c r="G8" s="15" t="str">
        <x:v>用户手册列出多个开放端口并建议移除12345</x:v>
      </x:c>
      <x:c r="H8" s="15" t="str">
        <x:v>待IT联调</x:v>
      </x:c>
      <x:c r="I8" s="15" t="str"/>
      <x:c r="J8" s="15" t="str"/>
    </x:row>
    <x:row r="9" ht="38" customHeight="1">
      <x:c r="A9" s="15" t="str">
        <x:v>Q006</x:v>
      </x:c>
      <x:c r="B9" s="15" t="str">
        <x:v>星尘</x:v>
      </x:c>
      <x:c r="C9" s="15" t="str">
        <x:v>T1</x:v>
      </x:c>
      <x:c r="D9" s="15" t="str">
        <x:v>P0</x:v>
      </x:c>
      <x:c r="E9" s="15" t="str">
        <x:v>底盘</x:v>
      </x:c>
      <x:c r="F9" s="15" t="str">
        <x:v>紧凑轮式底盘采用什么轮系，是否支持保持机身朝向纯横移/蟹行，最大横移速度、定位精度和航向误差是多少</x:v>
      </x:c>
      <x:c r="G9" s="15" t="str">
        <x:v>公开资料只说明紧凑轮式底盘和自动回充，未证明全向能力</x:v>
      </x:c>
      <x:c r="H9" s="15" t="str">
        <x:v>待供应商回复</x:v>
      </x:c>
      <x:c r="I9" s="15" t="str"/>
      <x:c r="J9" s="15" t="str"/>
    </x:row>
    <x:row r="10" ht="38" customHeight="1">
      <x:c r="A10" s="15" t="str">
        <x:v>Q007</x:v>
      </x:c>
      <x:c r="B10" s="15" t="str">
        <x:v>星尘</x:v>
      </x:c>
      <x:c r="C10" s="15" t="str">
        <x:v>T1</x:v>
      </x:c>
      <x:c r="D10" s="15" t="str">
        <x:v>P0</x:v>
      </x:c>
      <x:c r="E10" s="15" t="str">
        <x:v>精度与力控</x:v>
      </x:c>
      <x:c r="F10" s="15" t="str">
        <x:v>机械臂重复定位精度、整机移动后TCP误差、力传感器分辨率/采样率及阻抗控制接口分别是多少</x:v>
      </x:c>
      <x:c r="G10" s="15" t="str">
        <x:v>仅公开绳驱柔性和碰撞卸力，未给量化精度与力控指标</x:v>
      </x:c>
      <x:c r="H10" s="15" t="str">
        <x:v>待供应商回复</x:v>
      </x:c>
      <x:c r="I10" s="15" t="str"/>
      <x:c r="J10" s="15" t="str"/>
    </x:row>
    <x:row r="11" ht="38" customHeight="1">
      <x:c r="A11" s="15" t="str">
        <x:v>Q008</x:v>
      </x:c>
      <x:c r="B11" s="15" t="str">
        <x:v>星尘</x:v>
      </x:c>
      <x:c r="C11" s="15" t="str">
        <x:v>T1</x:v>
      </x:c>
      <x:c r="D11" s="15" t="str">
        <x:v>P0</x:v>
      </x:c>
      <x:c r="E11" s="15" t="str">
        <x:v>接口</x:v>
      </x:c>
      <x:c r="F11" s="15" t="str">
        <x:v>SDK协议、控制频率、ROS版本、末端供电通信和算力背包接口定义是什么</x:v>
      </x:c>
      <x:c r="G11" s="15" t="str">
        <x:v>公开资料只说明支持软硬件扩展、末端与算力背包更换</x:v>
      </x:c>
      <x:c r="H11" s="15" t="str">
        <x:v>待供应商回复</x:v>
      </x:c>
      <x:c r="I11" s="15" t="str"/>
      <x:c r="J11" s="15" t="str"/>
    </x:row>
    <x:row r="12" ht="38" customHeight="1">
      <x:c r="A12" s="15" t="str">
        <x:v>Q009</x:v>
      </x:c>
      <x:c r="B12" s="15" t="str">
        <x:v>星尘</x:v>
      </x:c>
      <x:c r="C12" s="15" t="str">
        <x:v>T1</x:v>
      </x:c>
      <x:c r="D12" s="15" t="str">
        <x:v>P1</x:v>
      </x:c>
      <x:c r="E12" s="15" t="str">
        <x:v>工业安全</x:v>
      </x:c>
      <x:c r="F12" s="15" t="str">
        <x:v>电池容量与续航、换电/回充节拍、IP等级、安全认证、MTBF和连续运行数据是什么</x:v>
      </x:c>
      <x:c r="G12" s="15" t="str">
        <x:v>公开资料未披露量化指标</x:v>
      </x:c>
      <x:c r="H12" s="15" t="str">
        <x:v>待供应商回复</x:v>
      </x:c>
      <x:c r="I12" s="15" t="str"/>
      <x:c r="J12" s="15" t="str"/>
    </x:row>
    <x:row r="13" ht="38" customHeight="1">
      <x:c r="A13" s="15" t="str">
        <x:v>Q010</x:v>
      </x:c>
      <x:c r="B13" s="15" t="str">
        <x:v>智动力</x:v>
      </x:c>
      <x:c r="C13" s="15" t="str">
        <x:v>D1</x:v>
      </x:c>
      <x:c r="D13" s="15" t="str">
        <x:v>P0</x:v>
      </x:c>
      <x:c r="E13" s="15" t="str">
        <x:v>精度</x:v>
      </x:c>
      <x:c r="F13" s="15" t="str">
        <x:v>四轮四转蟹行后的底盘定位和末端整链路精度是多少</x:v>
      </x:c>
      <x:c r="G13" s="15" t="str">
        <x:v>产品册未公开</x:v>
      </x:c>
      <x:c r="H13" s="15" t="str">
        <x:v>待供应商回复</x:v>
      </x:c>
      <x:c r="I13" s="15" t="str"/>
      <x:c r="J13" s="15" t="str"/>
    </x:row>
    <x:row r="14" ht="38" customHeight="1">
      <x:c r="A14" s="15" t="str">
        <x:v>Q011</x:v>
      </x:c>
      <x:c r="B14" s="15" t="str">
        <x:v>智动力</x:v>
      </x:c>
      <x:c r="C14" s="15" t="str">
        <x:v>D1/P系列</x:v>
      </x:c>
      <x:c r="D14" s="15" t="str">
        <x:v>P0</x:v>
      </x:c>
      <x:c r="E14" s="15" t="str">
        <x:v>力控</x:v>
      </x:c>
      <x:c r="F14" s="15" t="str">
        <x:v>笛卡尔阻抗和力位置混合控制是否已在量产SDK可用</x:v>
      </x:c>
      <x:c r="G14" s="15" t="str">
        <x:v>产品册仅宣传全力控，Z1手册标注部分接口待实现</x:v>
      </x:c>
      <x:c r="H14" s="15" t="str">
        <x:v>待供应商回复</x:v>
      </x:c>
      <x:c r="I14" s="15" t="str"/>
      <x:c r="J14" s="15" t="str"/>
    </x:row>
    <x:row r="15" ht="38" customHeight="1">
      <x:c r="A15" s="15" t="str">
        <x:v>Q012</x:v>
      </x:c>
      <x:c r="B15" s="15" t="str">
        <x:v>智动力</x:v>
      </x:c>
      <x:c r="C15" s="15" t="str">
        <x:v>Z1</x:v>
      </x:c>
      <x:c r="D15" s="15" t="str">
        <x:v>P0</x:v>
      </x:c>
      <x:c r="E15" s="15" t="str">
        <x:v>SDK</x:v>
      </x:c>
      <x:c r="F15" s="15" t="str">
        <x:v>startHybridTrajectorySubscription、configHybridTrajectory和startHybridTrajectory的版本关系是什么</x:v>
      </x:c>
      <x:c r="G15" s="15" t="str">
        <x:v>r26.6手册命名不一致</x:v>
      </x:c>
      <x:c r="H15" s="15" t="str">
        <x:v>待供应商回复</x:v>
      </x:c>
      <x:c r="I15" s="15" t="str"/>
      <x:c r="J15" s="15" t="str"/>
    </x:row>
    <x:row r="16" ht="38" customHeight="1">
      <x:c r="A16" s="15" t="str">
        <x:v>Q013</x:v>
      </x:c>
      <x:c r="B16" s="15" t="str">
        <x:v>智动力</x:v>
      </x:c>
      <x:c r="C16" s="15" t="str">
        <x:v>Z1</x:v>
      </x:c>
      <x:c r="D16" s="15" t="str">
        <x:v>P0</x:v>
      </x:c>
      <x:c r="E16" s="15" t="str">
        <x:v>坐标系</x:v>
      </x:c>
      <x:c r="F16" s="15" t="str">
        <x:v>状态矩阵行主序、IK列主序及MoveL矩阵顺序如何统一</x:v>
      </x:c>
      <x:c r="G16" s="15" t="str">
        <x:v>r26.6手册定义不一致</x:v>
      </x:c>
      <x:c r="H16" s="15" t="str">
        <x:v>待供应商回复</x:v>
      </x:c>
      <x:c r="I16" s="15" t="str"/>
      <x:c r="J16" s="15" t="str"/>
    </x:row>
    <x:row r="17" ht="38" customHeight="1">
      <x:c r="A17" s="15" t="str">
        <x:v>Q014</x:v>
      </x:c>
      <x:c r="B17" s="15" t="str">
        <x:v>智动力</x:v>
      </x:c>
      <x:c r="C17" s="15" t="str">
        <x:v>Z1</x:v>
      </x:c>
      <x:c r="D17" s="15" t="str">
        <x:v>P0</x:v>
      </x:c>
      <x:c r="E17" s="15" t="str">
        <x:v>夹爪</x:v>
      </x:c>
      <x:c r="F17" s="15" t="str">
        <x:v>夹爪力矩0至5N的单位是否应为N·m</x:v>
      </x:c>
      <x:c r="G17" s="15" t="str">
        <x:v>手册力和力矩单位矛盾</x:v>
      </x:c>
      <x:c r="H17" s="15" t="str">
        <x:v>待供应商回复</x:v>
      </x:c>
      <x:c r="I17" s="15" t="str"/>
      <x:c r="J17" s="15" t="str"/>
    </x:row>
    <x:row r="18" ht="38" customHeight="1">
      <x:c r="A18" s="15" t="str">
        <x:v>Q015</x:v>
      </x:c>
      <x:c r="B18" s="15" t="str">
        <x:v>智动力</x:v>
      </x:c>
      <x:c r="C18" s="15" t="str">
        <x:v>JUNO2-SD</x:v>
      </x:c>
      <x:c r="D18" s="15" t="str">
        <x:v>P0</x:v>
      </x:c>
      <x:c r="E18" s="15" t="str">
        <x:v>底盘</x:v>
      </x:c>
      <x:c r="F18" s="15" t="str">
        <x:v>是否可更换为四舵轮或四轮四转底盘</x:v>
      </x:c>
      <x:c r="G18" s="15" t="str">
        <x:v>现有双差速底盘不支持纯横移</x:v>
      </x:c>
      <x:c r="H18" s="15" t="str">
        <x:v>待供应商回复</x:v>
      </x:c>
      <x:c r="I18" s="15" t="str"/>
      <x:c r="J18" s="15" t="str"/>
    </x:row>
    <x:row r="19" ht="38" customHeight="1">
      <x:c r="A19" s="15" t="str">
        <x:v>Q016</x:v>
      </x:c>
      <x:c r="B19" s="15" t="str">
        <x:v>宇树</x:v>
      </x:c>
      <x:c r="C19" s="15" t="str">
        <x:v>G1-D旗舰版</x:v>
      </x:c>
      <x:c r="D19" s="15" t="str">
        <x:v>P0</x:v>
      </x:c>
      <x:c r="E19" s="15" t="str">
        <x:v>底盘</x:v>
      </x:c>
      <x:c r="F19" s="15" t="str">
        <x:v>是否提供全向底盘版本或外接横移模块</x:v>
      </x:c>
      <x:c r="G19" s="15" t="str">
        <x:v>官方为差速底盘</x:v>
      </x:c>
      <x:c r="H19" s="15" t="str">
        <x:v>待供应商回复</x:v>
      </x:c>
      <x:c r="I19" s="15" t="str"/>
      <x:c r="J19" s="15" t="str"/>
    </x:row>
    <x:row r="20" ht="38" customHeight="1">
      <x:c r="A20" s="15" t="str">
        <x:v>Q017</x:v>
      </x:c>
      <x:c r="B20" s="15" t="str">
        <x:v>天机智能</x:v>
      </x:c>
      <x:c r="C20" s="15" t="str">
        <x:v>Marvin M6 CCS</x:v>
      </x:c>
      <x:c r="D20" s="15" t="str">
        <x:v>P0</x:v>
      </x:c>
      <x:c r="E20" s="15" t="str">
        <x:v>系统集成</x:v>
      </x:c>
      <x:c r="F20" s="15" t="str">
        <x:v>能否提供带四舵轮底盘、导航和安全控制的完整本体方案</x:v>
      </x:c>
      <x:c r="G20" s="15" t="str">
        <x:v>现有资料仅为双臂模块</x:v>
      </x:c>
      <x:c r="H20" s="15" t="str">
        <x:v>待供应商回复</x:v>
      </x:c>
      <x:c r="I20" s="15" t="str"/>
      <x:c r="J20" s="15" t="str"/>
    </x:row>
    <x:row r="21" ht="38" customHeight="1">
      <x:c r="A21" s="15" t="str">
        <x:v>Q018</x:v>
      </x:c>
      <x:c r="B21" s="15" t="str">
        <x:v>全部</x:v>
      </x:c>
      <x:c r="C21" s="15" t="str">
        <x:v>全部</x:v>
      </x:c>
      <x:c r="D21" s="15" t="str">
        <x:v>P0</x:v>
      </x:c>
      <x:c r="E21" s="15" t="str">
        <x:v>线束POC</x:v>
      </x:c>
      <x:c r="F21" s="15" t="str">
        <x:v>完成横移捋线500至1000次并记录节拍、成功率、损伤率和人工介入次数</x:v>
      </x:c>
      <x:c r="G21" s="15" t="str">
        <x:v>尚未实测</x:v>
      </x:c>
      <x:c r="H21" s="15" t="str">
        <x:v>待POC</x:v>
      </x:c>
      <x:c r="I21" s="15" t="str"/>
      <x:c r="J21" s="15" t="str"/>
    </x:row>
    <x:row r="22" ht="38" customHeight="1">
      <x:c r="A22" s="15" t="str">
        <x:v>Q019</x:v>
      </x:c>
      <x:c r="B22" s="15" t="str">
        <x:v>Boston Dynamics</x:v>
      </x:c>
      <x:c r="C22" s="15" t="str">
        <x:v>Atlas</x:v>
      </x:c>
      <x:c r="D22" s="15" t="str">
        <x:v>P0</x:v>
      </x:c>
      <x:c r="E22" s="15" t="str">
        <x:v>底盘/步态</x:v>
      </x:c>
      <x:c r="F22" s="15" t="str">
        <x:v>能否保持上身朝向工装完成连续2米横移并给出轨迹与末端误差</x:v>
      </x:c>
      <x:c r="G22" s="15" t="str">
        <x:v>官网仅说明动态双足能力</x:v>
      </x:c>
      <x:c r="H22" s="15" t="str">
        <x:v>待供应商回复</x:v>
      </x:c>
      <x:c r="I22" s="15" t="str"/>
      <x:c r="J22" s="15" t="str"/>
    </x:row>
    <x:row r="23" ht="38" customHeight="1">
      <x:c r="A23" s="15" t="str">
        <x:v>Q020</x:v>
      </x:c>
      <x:c r="B23" s="15" t="str">
        <x:v>Boston Dynamics</x:v>
      </x:c>
      <x:c r="C23" s="15" t="str">
        <x:v>Atlas</x:v>
      </x:c>
      <x:c r="D23" s="15" t="str">
        <x:v>P1</x:v>
      </x:c>
      <x:c r="E23" s="15" t="str">
        <x:v>采购与集成</x:v>
      </x:c>
      <x:c r="F23" s="15" t="str">
        <x:v>中国工厂能否采购并开放任务开发、末端工具和MES接口</x:v>
      </x:c>
      <x:c r="G23" s="15" t="str">
        <x:v>当前仅面向选择性早期客户且Orbit为专有平台</x:v>
      </x:c>
      <x:c r="H23" s="15" t="str">
        <x:v>待供应商回复</x:v>
      </x:c>
      <x:c r="I23" s="15" t="str"/>
      <x:c r="J23" s="15" t="str"/>
    </x:row>
    <x:row r="24" ht="38" customHeight="1">
      <x:c r="A24" s="15" t="str">
        <x:v>Q021</x:v>
      </x:c>
      <x:c r="B24" s="15" t="str">
        <x:v>Figure AI</x:v>
      </x:c>
      <x:c r="C24" s="15" t="str">
        <x:v>Figure 03</x:v>
      </x:c>
      <x:c r="D24" s="15" t="str">
        <x:v>P0</x:v>
      </x:c>
      <x:c r="E24" s="15" t="str">
        <x:v>步态与精度</x:v>
      </x:c>
      <x:c r="F24" s="15" t="str">
        <x:v>侧移后双手TCP重定位误差、停稳时间和连续运行节拍是多少</x:v>
      </x:c>
      <x:c r="G24" s="15" t="str">
        <x:v>官网未披露工业步态精度</x:v>
      </x:c>
      <x:c r="H24" s="15" t="str">
        <x:v>待供应商回复</x:v>
      </x:c>
      <x:c r="I24" s="15" t="str"/>
      <x:c r="J24" s="15" t="str"/>
    </x:row>
    <x:row r="25" ht="38" customHeight="1">
      <x:c r="A25" s="15" t="str">
        <x:v>Q022</x:v>
      </x:c>
      <x:c r="B25" s="15" t="str">
        <x:v>Figure AI</x:v>
      </x:c>
      <x:c r="C25" s="15" t="str">
        <x:v>Figure 03</x:v>
      </x:c>
      <x:c r="D25" s="15" t="str">
        <x:v>P0</x:v>
      </x:c>
      <x:c r="E25" s="15" t="str">
        <x:v>接口</x:v>
      </x:c>
      <x:c r="F25" s="15" t="str">
        <x:v>是否提供第三方SDK、末端机械接口、电气接口和离线部署能力</x:v>
      </x:c>
      <x:c r="G25" s="15" t="str">
        <x:v>公开资料仅描述Helix专有系统</x:v>
      </x:c>
      <x:c r="H25" s="15" t="str">
        <x:v>待供应商回复</x:v>
      </x:c>
      <x:c r="I25" s="15" t="str"/>
      <x:c r="J25" s="15" t="str"/>
    </x:row>
    <x:row r="26" ht="38" customHeight="1">
      <x:c r="A26" s="15" t="str">
        <x:v>Q023</x:v>
      </x:c>
      <x:c r="B26" s="15" t="str">
        <x:v>Tesla</x:v>
      </x:c>
      <x:c r="C26" s="15" t="str">
        <x:v>Optimus</x:v>
      </x:c>
      <x:c r="D26" s="15" t="str">
        <x:v>P0</x:v>
      </x:c>
      <x:c r="E26" s="15" t="str">
        <x:v>可采购性</x:v>
      </x:c>
      <x:c r="F26" s="15" t="str">
        <x:v>是否提供外部销售、工程规格书、SDK和售后服务边界</x:v>
      </x:c>
      <x:c r="G26" s="15" t="str">
        <x:v>官方尚未给出采购规格</x:v>
      </x:c>
      <x:c r="H26" s="15" t="str">
        <x:v>待供应商回复</x:v>
      </x:c>
      <x:c r="I26" s="15" t="str"/>
      <x:c r="J26" s="15" t="str"/>
    </x:row>
    <x:row r="27" ht="38" customHeight="1">
      <x:c r="A27" s="15" t="str">
        <x:v>Q024</x:v>
      </x:c>
      <x:c r="B27" s="15" t="str">
        <x:v>逐际动力</x:v>
      </x:c>
      <x:c r="C27" s="15" t="str">
        <x:v>LimX Oli EDU</x:v>
      </x:c>
      <x:c r="D27" s="15" t="str">
        <x:v>P0</x:v>
      </x:c>
      <x:c r="E27" s="15" t="str">
        <x:v>横移POC</x:v>
      </x:c>
      <x:c r="F27" s="15" t="str">
        <x:v>能否在保持胸部朝向的情况下完成连续贴线横移并量化足端稳定和末端误差</x:v>
      </x:c>
      <x:c r="G27" s="15" t="str">
        <x:v>官网只披露行走速度</x:v>
      </x:c>
      <x:c r="H27" s="15" t="str">
        <x:v>待POC</x:v>
      </x:c>
      <x:c r="I27" s="15" t="str"/>
      <x:c r="J27" s="15" t="str"/>
    </x:row>
    <x:row r="28" ht="38" customHeight="1">
      <x:c r="A28" s="15" t="str">
        <x:v>Q025</x:v>
      </x:c>
      <x:c r="B28" s="15" t="str">
        <x:v>逐际动力</x:v>
      </x:c>
      <x:c r="C28" s="15" t="str">
        <x:v>LimX Oli EDU</x:v>
      </x:c>
      <x:c r="D28" s="15" t="str">
        <x:v>P1</x:v>
      </x:c>
      <x:c r="E28" s="15" t="str">
        <x:v>工业可靠性</x:v>
      </x:c>
      <x:c r="F28" s="15" t="str">
        <x:v>重复定位精度、IP等级、MTBF、连续运行和电池循环寿命是多少</x:v>
      </x:c>
      <x:c r="G28" s="15" t="str">
        <x:v>公开资料未披露</x:v>
      </x:c>
      <x:c r="H28" s="15" t="str">
        <x:v>待供应商回复</x:v>
      </x:c>
      <x:c r="I28" s="15" t="str"/>
      <x:c r="J28" s="15" t="str"/>
    </x:row>
    <x:row r="29" ht="38" customHeight="1">
      <x:c r="A29" s="15" t="str">
        <x:v>Q026</x:v>
      </x:c>
      <x:c r="B29" s="15" t="str">
        <x:v>逐际动力</x:v>
      </x:c>
      <x:c r="C29" s="15" t="str">
        <x:v>TRON 2 双臂形态</x:v>
      </x:c>
      <x:c r="D29" s="15" t="str">
        <x:v>P0</x:v>
      </x:c>
      <x:c r="E29" s="15" t="str">
        <x:v>底盘</x:v>
      </x:c>
      <x:c r="F29" s="15" t="str">
        <x:v>官方四向移动是否包含无需转向的纯横移；双轮足转向结构是什么</x:v>
      </x:c>
      <x:c r="G29" s="15" t="str">
        <x:v>官网表述不足以判断蟹行能力</x:v>
      </x:c>
      <x:c r="H29" s="15" t="str">
        <x:v>待供应商回复</x:v>
      </x:c>
      <x:c r="I29" s="15" t="str"/>
      <x:c r="J29" s="15" t="str"/>
    </x:row>
    <x:row r="30" ht="38" customHeight="1">
      <x:c r="A30" s="15" t="str">
        <x:v>Q027</x:v>
      </x:c>
      <x:c r="B30" s="15" t="str">
        <x:v>逐际动力</x:v>
      </x:c>
      <x:c r="C30" s="15" t="str">
        <x:v>TRON 2 双臂形态</x:v>
      </x:c>
      <x:c r="D30" s="15" t="str">
        <x:v>P1</x:v>
      </x:c>
      <x:c r="E30" s="15" t="str">
        <x:v>力控</x:v>
      </x:c>
      <x:c r="F30" s="15" t="str">
        <x:v>双臂是否具有关节力矩或末端六维力传感；控制频率和量化精度是多少</x:v>
      </x:c>
      <x:c r="G30" s="15" t="str">
        <x:v>只公开安全边界未公开力控参数</x:v>
      </x:c>
      <x:c r="H30" s="15" t="str">
        <x:v>待供应商回复</x:v>
      </x:c>
      <x:c r="I30" s="15" t="str"/>
      <x:c r="J30" s="15" t="str"/>
    </x:row>
    <x:row r="31" ht="38" customHeight="1">
      <x:c r="A31" s="15" t="str">
        <x:v>Q028</x:v>
      </x:c>
      <x:c r="B31" s="15" t="str">
        <x:v>星海图</x:v>
      </x:c>
      <x:c r="C31" s="15" t="str">
        <x:v>R1 Pro 2026</x:v>
      </x:c>
      <x:c r="D31" s="15" t="str">
        <x:v>P0</x:v>
      </x:c>
      <x:c r="E31" s="15" t="str">
        <x:v>断电安全</x:v>
      </x:c>
      <x:c r="F31" s="15" t="str">
        <x:v>A2机械臂无制动器时如何防止断电下坠、夹具碰撞和线束损伤</x:v>
      </x:c>
      <x:c r="G31" s="15" t="str">
        <x:v>官方开发文档明确无制动器</x:v>
      </x:c>
      <x:c r="H31" s="15" t="str">
        <x:v>待供应商回复</x:v>
      </x:c>
      <x:c r="I31" s="15" t="str"/>
      <x:c r="J31" s="15" t="str"/>
    </x:row>
    <x:row r="32" ht="38" customHeight="1">
      <x:c r="A32" s="15" t="str">
        <x:v>Q029</x:v>
      </x:c>
      <x:c r="B32" s="15" t="str">
        <x:v>星海图</x:v>
      </x:c>
      <x:c r="C32" s="15" t="str">
        <x:v>R1 Pro 2026</x:v>
      </x:c>
      <x:c r="D32" s="15" t="str">
        <x:v>P0</x:v>
      </x:c>
      <x:c r="E32" s="15" t="str">
        <x:v>整链路精度</x:v>
      </x:c>
      <x:c r="F32" s="15" t="str">
        <x:v>横移停稳后视觉重定位与双手TCP误差是多少；能否稳定插接端子</x:v>
      </x:c>
      <x:c r="G32" s="15" t="str">
        <x:v>机械臂重复定位精度为0.5mm</x:v>
      </x:c>
      <x:c r="H32" s="15" t="str">
        <x:v>待POC</x:v>
      </x:c>
      <x:c r="I32" s="15" t="str"/>
      <x:c r="J32" s="15" t="str"/>
    </x:row>
    <x:row r="33" ht="38" customHeight="1">
      <x:c r="A33" s="15" t="str">
        <x:v>Q030</x:v>
      </x:c>
      <x:c r="B33" s="15" t="str">
        <x:v>它石智航</x:v>
      </x:c>
      <x:c r="C33" s="15" t="str">
        <x:v>TARS A1</x:v>
      </x:c>
      <x:c r="D33" s="15" t="str">
        <x:v>P0</x:v>
      </x:c>
      <x:c r="E33" s="15" t="str">
        <x:v>本体参数</x:v>
      </x:c>
      <x:c r="F33" s="15" t="str">
        <x:v>底盘轮型、是否支持纯横移、臂展、负载、自由度、续航和IP等级是什么</x:v>
      </x:c>
      <x:c r="G33" s="15" t="str">
        <x:v>公开任务成果多但本体规格缺失</x:v>
      </x:c>
      <x:c r="H33" s="15" t="str">
        <x:v>待供应商回复</x:v>
      </x:c>
      <x:c r="I33" s="15" t="str"/>
      <x:c r="J33" s="15" t="str"/>
    </x:row>
    <x:row r="34" ht="38" customHeight="1">
      <x:c r="A34" s="15" t="str">
        <x:v>Q031</x:v>
      </x:c>
      <x:c r="B34" s="15" t="str">
        <x:v>它石智航</x:v>
      </x:c>
      <x:c r="C34" s="15" t="str">
        <x:v>TARS A1</x:v>
      </x:c>
      <x:c r="D34" s="15" t="str">
        <x:v>P0</x:v>
      </x:c>
      <x:c r="E34" s="15" t="str">
        <x:v>规模验收</x:v>
      </x:c>
      <x:c r="F34" s="15" t="str">
        <x:v>已部署机器人按工序的节拍、一次成功率、OEE、损伤率、人工介入率和最终验收比例是多少</x:v>
      </x:c>
      <x:c r="G34" s="15" t="str">
        <x:v>内部沟通反馈百台部署要求尚未达标</x:v>
      </x:c>
      <x:c r="H34" s="15" t="str">
        <x:v>待供应商回复</x:v>
      </x:c>
      <x:c r="I34" s="15" t="str"/>
      <x:c r="J34" s="15" t="str"/>
    </x:row>
    <x:row r="35" ht="38" customHeight="1">
      <x:c r="A35" s="15" t="str">
        <x:v>Q032</x:v>
      </x:c>
      <x:c r="B35" s="15" t="str">
        <x:v>它石智航</x:v>
      </x:c>
      <x:c r="C35" s="15" t="str">
        <x:v>TARS A1</x:v>
      </x:c>
      <x:c r="D35" s="15" t="str">
        <x:v>P0</x:v>
      </x:c>
      <x:c r="E35" s="15" t="str">
        <x:v>项目经济性</x:v>
      </x:c>
      <x:c r="F35" s="15" t="str">
        <x:v>按2.5年回本目标给出本体、场地、工装板、接插件耗材、夹爪迭代、MES集成和维护全成本</x:v>
      </x:c>
      <x:c r="G35" s="15" t="str">
        <x:v>前期场地工装和端子损耗可能显著</x:v>
      </x:c>
      <x:c r="H35" s="15" t="str">
        <x:v>待供应商回复</x:v>
      </x:c>
      <x:c r="I35" s="15" t="str"/>
      <x:c r="J35" s="15" t="str"/>
    </x:row>
  </x:sheetData>
  <x:mergeCells>
    <x:mergeCell ref="A1:J1"/>
  </x:mergeCells>
  <x:conditionalFormatting sqref="D4:D35">
    <x:cfRule type="cellIs" dxfId="4" priority="1">
      <x:formula>"P0"</x:formula>
    </x:cfRule>
    <x:cfRule type="cellIs" dxfId="5" priority="2">
      <x:formula>"P1"</x:formula>
    </x:cfRule>
  </x:conditionalFormatting>
  <x:dataValidations count="1">
    <x:dataValidation type="list" sqref="H4:H35">
      <x:formula1>"待供应商回复,待POC,待IT联调,进行中,已关闭,不适用"</x:formula1>
    </x:dataValidation>
  </x:dataValidations>
  <x:pageMargins left="0.7" right="0.7" top="0.75" bottom="0.75" header="0.3" footer="0.3"/>
  <x:tableParts count="1">
    <x:tablePart xmlns:r="http://schemas.openxmlformats.org/officeDocument/2006/relationships" r:id="Rfceb751f894a4c15"/>
  </x:tableParts>
</x:worksheet>
</file>

<file path=xl/worksheets/sheet6.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18" hidden="0" customWidth="1"/>
    <x:col min="2" max="2" width="12" hidden="0" customWidth="1"/>
    <x:col min="3" max="3" width="33" hidden="0" customWidth="1"/>
    <x:col min="4" max="4" width="48" hidden="0" customWidth="1"/>
    <x:col min="5" max="5" width="16" hidden="0" customWidth="1"/>
    <x:col min="6" max="6" width="48" hidden="0" customWidth="1"/>
    <x:col min="7" max="7" width="14" hidden="0" customWidth="1"/>
    <x:col min="8" max="8" width="12" hidden="0" customWidth="1"/>
    <x:col min="9" max="9" width="38" hidden="0" customWidth="1"/>
  </x:cols>
  <x:sheetData>
    <x:row r="1">
      <x:c r="A1" s="5" t="str">
        <x:v>来源证据登记｜原始供应商文件按仓库策略归档</x:v>
      </x:c>
      <x:c r="B1" s="5"/>
      <x:c r="C1" s="5"/>
      <x:c r="D1" s="5"/>
      <x:c r="E1" s="5"/>
      <x:c r="F1" s="5"/>
      <x:c r="G1" s="5"/>
      <x:c r="H1" s="5"/>
      <x:c r="I1" s="5"/>
      <x:c r="J1" s="1"/>
      <x:c r="K1" s="1"/>
      <x:c r="L1" s="1"/>
      <x:c r="M1" s="1"/>
      <x:c r="N1" s="1"/>
      <x:c r="O1" s="1"/>
      <x:c r="P1" s="1"/>
      <x:c r="Q1" s="1"/>
      <x:c r="R1" s="1"/>
      <x:c r="S1" s="1"/>
      <x:c r="T1" s="1"/>
      <x:c r="U1" s="1"/>
      <x:c r="V1" s="1"/>
      <x:c r="W1" s="1"/>
      <x:c r="X1" s="1"/>
      <x:c r="Y1" s="1"/>
      <x:c r="Z1" s="1"/>
      <x:c r="AA1" s="1"/>
      <x:c r="AB1" s="1"/>
      <x:c r="AC1" s="1"/>
      <x:c r="AD1" s="1"/>
      <x:c r="AE1" s="1"/>
      <x:c r="AF1" s="1"/>
      <x:c r="AG1" s="1"/>
      <x:c r="AH1" s="1"/>
      <x:c r="AI1" s="1"/>
      <x:c r="AJ1" s="1"/>
      <x:c r="AK1" s="1"/>
      <x:c r="AL1" s="1"/>
      <x:c r="AM1" s="1"/>
      <x:c r="AN1" s="1"/>
      <x:c r="AO1" s="1"/>
      <x:c r="AP1" s="1"/>
      <x:c r="AQ1" s="1"/>
      <x:c r="AR1" s="1"/>
      <x:c r="AS1" s="1"/>
      <x:c r="AT1" s="1"/>
      <x:c r="AU1" s="1"/>
      <x:c r="AV1" s="1"/>
      <x:c r="AW1" s="1"/>
      <x:c r="AX1" s="1"/>
      <x:c r="AY1" s="1"/>
      <x:c r="AZ1" s="1"/>
    </x:row>
    <x:row r="3">
      <x:c r="A3" s="13" t="str">
        <x:v>source_id</x:v>
      </x:c>
      <x:c r="B3" s="13" t="str">
        <x:v>model_id</x:v>
      </x:c>
      <x:c r="C3" s="13" t="str">
        <x:v>source_type</x:v>
      </x:c>
      <x:c r="D3" s="13" t="str">
        <x:v>title</x:v>
      </x:c>
      <x:c r="E3" s="13" t="str">
        <x:v>source_locator</x:v>
      </x:c>
      <x:c r="F3" s="13" t="str">
        <x:v>document_date</x:v>
      </x:c>
      <x:c r="G3" s="13" t="str">
        <x:v>accessed_date</x:v>
      </x:c>
      <x:c r="H3" s="13" t="str">
        <x:v>confidence</x:v>
      </x:c>
      <x:c r="I3" s="13" t="str">
        <x:v>notes</x:v>
      </x:c>
    </x:row>
    <x:row r="4" ht="42" customHeight="1">
      <x:c r="A4" s="15" t="str">
        <x:v>src_agibot_g2_manual</x:v>
      </x:c>
      <x:c r="B4" s="15" t="str">
        <x:v>agibot_g2</x:v>
      </x:c>
      <x:c r="C4" s="15" t="str">
        <x:v>官方用户手册</x:v>
      </x:c>
      <x:c r="D4" s="15" t="str">
        <x:v>智元精灵G2产品用户手册</x:v>
      </x:c>
      <x:c r="E4" s="15" t="e">
        <x:f>HYPERLINK("https://www.agibot.com.cn/filepage/362.html","https://www.agibot.com.cn/filepage/362.html")</x:f>
        <x:v>HYPERLINK is not implemented. linkLocation=https://www.agibot.com.cn/filepage/362.html, friendlyName=https://www.agibot.com.cn/filepage/362.html</x:v>
      </x:c>
      <x:c r="F4" s="15" t="str">
        <x:v>2026-04-28</x:v>
      </x:c>
      <x:c r="G4" s="15" t="str">
        <x:v>2026-09-15</x:v>
      </x:c>
      <x:c r="H4" s="15" t="str">
        <x:v>高</x:v>
      </x:c>
      <x:c r="I4" s="15" t="str">
        <x:v>参数表和接口定义较完整</x:v>
      </x:c>
    </x:row>
    <x:row r="5" ht="42" customHeight="1">
      <x:c r="A5" s="15" t="str">
        <x:v>src_astribot_t1_home</x:v>
      </x:c>
      <x:c r="B5" s="15" t="str">
        <x:v>astribot_t1</x:v>
      </x:c>
      <x:c r="C5" s="15" t="str">
        <x:v>官方网站</x:v>
      </x:c>
      <x:c r="D5" s="15" t="str">
        <x:v>星尘智能首页 T1 发布信息</x:v>
      </x:c>
      <x:c r="E5" s="15" t="e">
        <x:f>HYPERLINK("https://www.astribot.com/","https://www.astribot.com/")</x:f>
        <x:v>HYPERLINK is not implemented. linkLocation=https://www.astribot.com/, friendlyName=https://www.astribot.com/</x:v>
      </x:c>
      <x:c r="F5" s="15" t="str"/>
      <x:c r="G5" s="15" t="str">
        <x:v>2026-09-15</x:v>
      </x:c>
      <x:c r="H5" s="15" t="str">
        <x:v>高</x:v>
      </x:c>
      <x:c r="I5" s="15" t="str">
        <x:v>确认T1型号与8.99万元起售价；官网尚无T1完整数据表</x:v>
      </x:c>
    </x:row>
    <x:row r="6" ht="42" customHeight="1">
      <x:c r="A6" s="15" t="str">
        <x:v>src_astribot_t1_wuxi</x:v>
      </x:c>
      <x:c r="B6" s="15" t="str">
        <x:v>astribot_t1</x:v>
      </x:c>
      <x:c r="C6" s="15" t="str">
        <x:v>政府公开信息</x:v>
      </x:c>
      <x:c r="D6" s="15" t="str">
        <x:v>技术硬核价格亲民 多元场景显身手</x:v>
      </x:c>
      <x:c r="E6" s="15" t="e">
        <x:f>HYPERLINK("https://www.wuxi.gov.cn/doc/2026/07/11/4803940.shtml","https://www.wuxi.gov.cn/doc/2026/07/11/4803940.shtml")</x:f>
        <x:v>HYPERLINK is not implemented. linkLocation=https://www.wuxi.gov.cn/doc/2026/07/11/4803940.shtml, friendlyName=https://www.wuxi.gov.cn/doc/2026/07/11/4803940.shtml</x:v>
      </x:c>
      <x:c r="F6" s="15" t="str">
        <x:v>2026-07-11</x:v>
      </x:c>
      <x:c r="G6" s="15" t="str">
        <x:v>2026-09-15</x:v>
      </x:c>
      <x:c r="H6" s="15" t="str">
        <x:v>高</x:v>
      </x:c>
      <x:c r="I6" s="15" t="str">
        <x:v>确认无锡工厂量产下线、23自由度、单臂5kg、绳驱和底盘扩展接口</x:v>
      </x:c>
    </x:row>
    <x:row r="7" ht="42" customHeight="1">
      <x:c r="A7" s="15" t="str">
        <x:v>src_astribot_t1_sznews</x:v>
      </x:c>
      <x:c r="B7" s="15" t="str">
        <x:v>astribot_t1</x:v>
      </x:c>
      <x:c r="C7" s="15" t="str">
        <x:v>地方官方媒体</x:v>
      </x:c>
      <x:c r="D7" s="15" t="str">
        <x:v>煎牛排调酒做实验 星尘智能发布绳驱AI机器人T1</x:v>
      </x:c>
      <x:c r="E7" s="15" t="e">
        <x:f>HYPERLINK("https://www.sznews.com/news/content/2026-05/27/content_32067943.htm","https://www.sznews.com/news/content/2026-05/27/content_32067943.htm")</x:f>
        <x:v>HYPERLINK is not implemented. linkLocation=https://www.sznews.com/news/content/2026-05/27/content_32067943.htm, friendlyName=https://www.sznews.com/news/content/2026-05/27/content_32067943.htm</x:v>
      </x:c>
      <x:c r="F7" s="15" t="str">
        <x:v>2026-05-27</x:v>
      </x:c>
      <x:c r="G7" s="15" t="str">
        <x:v>2026-09-15</x:v>
      </x:c>
      <x:c r="H7" s="15" t="str">
        <x:v>中</x:v>
      </x:c>
      <x:c r="I7" s="15" t="str">
        <x:v>确认155cm、约66kg、23自由度不含末端、单臂5kg、自动回充和快捷换电</x:v>
      </x:c>
    </x:row>
    <x:row r="8" ht="42" customHeight="1">
      <x:c r="A8" s="15" t="str">
        <x:v>src_astribot_t1_wrc</x:v>
      </x:c>
      <x:c r="B8" s="15" t="str">
        <x:v>astribot_t1</x:v>
      </x:c>
      <x:c r="C8" s="15" t="str">
        <x:v>行业展会官方信息</x:v>
      </x:c>
      <x:c r="D8" s="15" t="str">
        <x:v>2026世界机器人大会星尘智能展品介绍</x:v>
      </x:c>
      <x:c r="E8" s="15" t="e">
        <x:f>HYPERLINK("https://wrc.cie.org.cn/expo/company/441.html","https://wrc.cie.org.cn/expo/company/441.html")</x:f>
        <x:v>HYPERLINK is not implemented. linkLocation=https://wrc.cie.org.cn/expo/company/441.html, friendlyName=https://wrc.cie.org.cn/expo/company/441.html</x:v>
      </x:c>
      <x:c r="F8" s="15" t="str">
        <x:v>2026-08-19</x:v>
      </x:c>
      <x:c r="G8" s="15" t="str">
        <x:v>2026-09-15</x:v>
      </x:c>
      <x:c r="H8" s="15" t="str">
        <x:v>中高</x:v>
      </x:c>
      <x:c r="I8" s="15" t="str">
        <x:v>确认轻量化机身、紧凑底盘、多样末端和软硬件扩展；未披露轮系</x:v>
      </x:c>
    </x:row>
    <x:row r="9" ht="42" customHeight="1">
      <x:c r="A9" s="15" t="str">
        <x:v>src_unitree_g1d</x:v>
      </x:c>
      <x:c r="B9" s="15" t="str">
        <x:v>unitree_g1d_flagship</x:v>
      </x:c>
      <x:c r="C9" s="15" t="str">
        <x:v>官方网站</x:v>
      </x:c>
      <x:c r="D9" s="15" t="str">
        <x:v>Unitree G1-D产品参数</x:v>
      </x:c>
      <x:c r="E9" s="15" t="e">
        <x:f>HYPERLINK("https://www.unitree.com/cn/mobile/G1-D/","https://www.unitree.com/cn/mobile/G1-D/")</x:f>
        <x:v>HYPERLINK is not implemented. linkLocation=https://www.unitree.com/cn/mobile/G1-D/, friendlyName=https://www.unitree.com/cn/mobile/G1-D/</x:v>
      </x:c>
      <x:c r="F9" s="15" t="str"/>
      <x:c r="G9" s="15" t="str">
        <x:v>2026-09-15</x:v>
      </x:c>
      <x:c r="H9" s="15" t="str">
        <x:v>高</x:v>
      </x:c>
      <x:c r="I9" s="15" t="str">
        <x:v>同时覆盖旗舰版和通用版</x:v>
      </x:c>
    </x:row>
    <x:row r="10" ht="42" customHeight="1">
      <x:c r="A10" s="15" t="str">
        <x:v>src_unitree_g1d_std</x:v>
      </x:c>
      <x:c r="B10" s="15" t="str">
        <x:v>unitree_g1d_standard</x:v>
      </x:c>
      <x:c r="C10" s="15" t="str">
        <x:v>官方网站</x:v>
      </x:c>
      <x:c r="D10" s="15" t="str">
        <x:v>Unitree G1-D产品参数</x:v>
      </x:c>
      <x:c r="E10" s="15" t="e">
        <x:f>HYPERLINK("https://www.unitree.com/cn/mobile/G1-D/","https://www.unitree.com/cn/mobile/G1-D/")</x:f>
        <x:v>HYPERLINK is not implemented. linkLocation=https://www.unitree.com/cn/mobile/G1-D/, friendlyName=https://www.unitree.com/cn/mobile/G1-D/</x:v>
      </x:c>
      <x:c r="F10" s="15" t="str"/>
      <x:c r="G10" s="15" t="str">
        <x:v>2026-09-15</x:v>
      </x:c>
      <x:c r="H10" s="15" t="str">
        <x:v>高</x:v>
      </x:c>
      <x:c r="I10" s="15" t="str">
        <x:v>通用版无主动底盘参数</x:v>
      </x:c>
    </x:row>
    <x:row r="11" ht="42" customHeight="1">
      <x:c r="A11" s="15" t="str">
        <x:v>src_zdl_d1</x:v>
      </x:c>
      <x:c r="B11" s="15" t="str">
        <x:v>zdl_d1</x:v>
      </x:c>
      <x:c r="C11" s="15" t="str">
        <x:v>供应商PDF</x:v>
      </x:c>
      <x:c r="D11" s="15" t="str">
        <x:v>D1（擎骏系列）.pdf</x:v>
      </x:c>
      <x:c r="E11" s="15" t="str">
        <x:v>sources/raw/01_智动力/D1（擎骏系列）.pdf</x:v>
      </x:c>
      <x:c r="F11" s="15" t="str"/>
      <x:c r="G11" s="15" t="str">
        <x:v>2026-09-15</x:v>
      </x:c>
      <x:c r="H11" s="15" t="str">
        <x:v>中</x:v>
      </x:c>
      <x:c r="I11" s="15" t="str">
        <x:v>供应商产品册，尚未实测</x:v>
      </x:c>
    </x:row>
    <x:row r="12" ht="42" customHeight="1">
      <x:c r="A12" s="15" t="str">
        <x:v>src_zdl_juno2</x:v>
      </x:c>
      <x:c r="B12" s="15" t="str">
        <x:v>zdl_juno2</x:v>
      </x:c>
      <x:c r="C12" s="15" t="str">
        <x:v>供应商PDF</x:v>
      </x:c>
      <x:c r="D12" s="15" t="str">
        <x:v>JUNO2-SD（龙骏系列）.pdf</x:v>
      </x:c>
      <x:c r="E12" s="15" t="str">
        <x:v>sources/raw/01_智动力/JUNO2-SD（龙骏系列）.pdf</x:v>
      </x:c>
      <x:c r="F12" s="15" t="str"/>
      <x:c r="G12" s="15" t="str">
        <x:v>2026-09-15</x:v>
      </x:c>
      <x:c r="H12" s="15" t="str">
        <x:v>中</x:v>
      </x:c>
      <x:c r="I12" s="15" t="str">
        <x:v>供应商产品册，尚未实测</x:v>
      </x:c>
    </x:row>
    <x:row r="13" ht="42" customHeight="1">
      <x:c r="A13" s="15" t="str">
        <x:v>src_zdl_juno1</x:v>
      </x:c>
      <x:c r="B13" s="15" t="str">
        <x:v>zdl_juno1</x:v>
      </x:c>
      <x:c r="C13" s="15" t="str">
        <x:v>供应商PDF</x:v>
      </x:c>
      <x:c r="D13" s="15" t="str">
        <x:v>JUNO1-P（智骏系列）.pdf</x:v>
      </x:c>
      <x:c r="E13" s="15" t="str">
        <x:v>sources/raw/01_智动力/JUNO1-P（智骏系列）.pdf</x:v>
      </x:c>
      <x:c r="F13" s="15" t="str"/>
      <x:c r="G13" s="15" t="str">
        <x:v>2026-09-15</x:v>
      </x:c>
      <x:c r="H13" s="15" t="str">
        <x:v>中</x:v>
      </x:c>
      <x:c r="I13" s="15" t="str">
        <x:v>供应商产品册，尚未实测</x:v>
      </x:c>
    </x:row>
    <x:row r="14" ht="42" customHeight="1">
      <x:c r="A14" s="15" t="str">
        <x:v>src_zdl_l1</x:v>
      </x:c>
      <x:c r="B14" s="15" t="str">
        <x:v>zdl_l1</x:v>
      </x:c>
      <x:c r="C14" s="15" t="str">
        <x:v>供应商PDF</x:v>
      </x:c>
      <x:c r="D14" s="15" t="str">
        <x:v>L1（灵骏系列）.pdf</x:v>
      </x:c>
      <x:c r="E14" s="15" t="str">
        <x:v>sources/raw/01_智动力/L1（灵骏系列）.pdf</x:v>
      </x:c>
      <x:c r="F14" s="15" t="str"/>
      <x:c r="G14" s="15" t="str">
        <x:v>2026-09-15</x:v>
      </x:c>
      <x:c r="H14" s="15" t="str">
        <x:v>中</x:v>
      </x:c>
      <x:c r="I14" s="15" t="str">
        <x:v>供应商产品册，尚未实测</x:v>
      </x:c>
    </x:row>
    <x:row r="15" ht="42" customHeight="1">
      <x:c r="A15" s="15" t="str">
        <x:v>src_zdl_z1</x:v>
      </x:c>
      <x:c r="B15" s="15" t="str">
        <x:v>zdl_z1</x:v>
      </x:c>
      <x:c r="C15" s="15" t="str">
        <x:v>供应商开发手册</x:v>
      </x:c>
      <x:c r="D15" s="15" t="str">
        <x:v>全尺寸人形机器人Z1开发手册 r26.6.md</x:v>
      </x:c>
      <x:c r="E15" s="15" t="str">
        <x:v>sources/raw/01_智动力/全尺寸人形机器人Z1开发手册 r26.6.md</x:v>
      </x:c>
      <x:c r="F15" s="15" t="str">
        <x:v>2026-07-25</x:v>
      </x:c>
      <x:c r="G15" s="15" t="str">
        <x:v>2026-09-15</x:v>
      </x:c>
      <x:c r="H15" s="15" t="str">
        <x:v>中</x:v>
      </x:c>
      <x:c r="I15" s="15" t="str">
        <x:v>接口文档存在多项待澄清问题</x:v>
      </x:c>
    </x:row>
    <x:row r="16" ht="42" customHeight="1">
      <x:c r="A16" s="15" t="str">
        <x:v>src_zdl_ha</x:v>
      </x:c>
      <x:c r="B16" s="15" t="str">
        <x:v>zdl_ha</x:v>
      </x:c>
      <x:c r="C16" s="15" t="str">
        <x:v>供应商PDF</x:v>
      </x:c>
      <x:c r="D16" s="15" t="str">
        <x:v>人形臂（HA系列）.pdf</x:v>
      </x:c>
      <x:c r="E16" s="15" t="str">
        <x:v>sources/raw/01_智动力/人形臂（HA系列）.pdf</x:v>
      </x:c>
      <x:c r="F16" s="15" t="str"/>
      <x:c r="G16" s="15" t="str">
        <x:v>2026-09-15</x:v>
      </x:c>
      <x:c r="H16" s="15" t="str">
        <x:v>中</x:v>
      </x:c>
      <x:c r="I16" s="15" t="str">
        <x:v>待纳入机械臂专项对比</x:v>
      </x:c>
    </x:row>
    <x:row r="17" ht="42" customHeight="1">
      <x:c r="A17" s="15" t="str">
        <x:v>src_zdl_fa</x:v>
      </x:c>
      <x:c r="B17" s="15" t="str">
        <x:v>zdl_fa</x:v>
      </x:c>
      <x:c r="C17" s="15" t="str">
        <x:v>供应商PDF</x:v>
      </x:c>
      <x:c r="D17" s="15" t="str">
        <x:v>桌面臂（FA系列）.pdf</x:v>
      </x:c>
      <x:c r="E17" s="15" t="str">
        <x:v>sources/raw/01_智动力/桌面臂（FA系列）.pdf</x:v>
      </x:c>
      <x:c r="F17" s="15" t="str"/>
      <x:c r="G17" s="15" t="str">
        <x:v>2026-09-15</x:v>
      </x:c>
      <x:c r="H17" s="15" t="str">
        <x:v>中</x:v>
      </x:c>
      <x:c r="I17" s="15" t="str">
        <x:v>待纳入机械臂专项对比</x:v>
      </x:c>
    </x:row>
    <x:row r="18" ht="42" customHeight="1">
      <x:c r="A18" s="15" t="str">
        <x:v>src_flexiv_rizon4_manual</x:v>
      </x:c>
      <x:c r="B18" s="15" t="str">
        <x:v>flexiv_rizon4</x:v>
      </x:c>
      <x:c r="C18" s="15" t="str">
        <x:v>供应商PDF</x:v>
      </x:c>
      <x:c r="D18" s="15" t="str">
        <x:v>Rizon4 用户手册_V3.0_zh-CN.pdf</x:v>
      </x:c>
      <x:c r="E18" s="15" t="str">
        <x:v>sources/raw/02_非夕_Flexiv/01_Rizon_拂晓/Rizon4 用户手册_V3.0_zh-CN.pdf</x:v>
      </x:c>
      <x:c r="F18" s="15" t="str"/>
      <x:c r="G18" s="15" t="str">
        <x:v>2026-09-15</x:v>
      </x:c>
      <x:c r="H18" s="15" t="str">
        <x:v>中</x:v>
      </x:c>
      <x:c r="I18" s="15" t="str">
        <x:v>待纳入机械臂专项对比</x:v>
      </x:c>
    </x:row>
    <x:row r="19" ht="42" customHeight="1">
      <x:c r="A19" s="15" t="str">
        <x:v>src_flexiv_rizon_datasheet</x:v>
      </x:c>
      <x:c r="B19" s="15" t="str">
        <x:v>flexiv_rizon</x:v>
      </x:c>
      <x:c r="C19" s="15" t="str">
        <x:v>供应商PDF</x:v>
      </x:c>
      <x:c r="D19" s="15" t="str">
        <x:v>拂晓(Rizon)机器人数据表_V2.0_202409.pdf</x:v>
      </x:c>
      <x:c r="E19" s="15" t="str">
        <x:v>sources/raw/02_非夕_Flexiv/01_Rizon_拂晓/拂晓(Rizon)机器人数据表_V2.0_202409.pdf</x:v>
      </x:c>
      <x:c r="F19" s="15" t="str">
        <x:v>2024-09</x:v>
      </x:c>
      <x:c r="G19" s="15" t="str">
        <x:v>2026-09-15</x:v>
      </x:c>
      <x:c r="H19" s="15" t="str">
        <x:v>中</x:v>
      </x:c>
      <x:c r="I19" s="15" t="str">
        <x:v>待纳入机械臂专项对比</x:v>
      </x:c>
    </x:row>
    <x:row r="20" ht="42" customHeight="1">
      <x:c r="A20" s="15" t="str">
        <x:v>src_flexiv_grav_manual</x:v>
      </x:c>
      <x:c r="B20" s="15" t="str">
        <x:v>flexiv_grav</x:v>
      </x:c>
      <x:c r="C20" s="15" t="str">
        <x:v>供应商PDF</x:v>
      </x:c>
      <x:c r="D20" s="15" t="str">
        <x:v>星擎用户手册_V1.0_202404(2).pdf</x:v>
      </x:c>
      <x:c r="E20" s="15" t="str">
        <x:v>sources/raw/02_非夕_Flexiv/02_Grav_星擎/星擎用户手册_V1.0_202404(2).pdf</x:v>
      </x:c>
      <x:c r="F20" s="15" t="str">
        <x:v>2024-04</x:v>
      </x:c>
      <x:c r="G20" s="15" t="str">
        <x:v>2026-09-15</x:v>
      </x:c>
      <x:c r="H20" s="15" t="str">
        <x:v>中</x:v>
      </x:c>
      <x:c r="I20" s="15" t="str">
        <x:v>末端执行器资料待结构化</x:v>
      </x:c>
    </x:row>
    <x:row r="21" ht="42" customHeight="1">
      <x:c r="A21" s="15" t="str">
        <x:v>src_flexiv_ft_datasheet</x:v>
      </x:c>
      <x:c r="B21" s="15" t="str">
        <x:v>flexiv_ft</x:v>
      </x:c>
      <x:c r="C21" s="15" t="str">
        <x:v>供应商PDF</x:v>
      </x:c>
      <x:c r="D21" s="15" t="str">
        <x:v>拂晓 F_T 传感器数据表_V1.0_zh-CN.pdf</x:v>
      </x:c>
      <x:c r="E21" s="15" t="str">
        <x:v>sources/raw/02_非夕_Flexiv/03_FT_拂晓传感器/拂晓 F_T 传感器数据表_V1.0_zh-CN.pdf</x:v>
      </x:c>
      <x:c r="F21" s="15" t="str"/>
      <x:c r="G21" s="15" t="str">
        <x:v>2026-09-15</x:v>
      </x:c>
      <x:c r="H21" s="15" t="str">
        <x:v>中</x:v>
      </x:c>
      <x:c r="I21" s="15" t="str">
        <x:v>力传感器资料待结构化</x:v>
      </x:c>
    </x:row>
    <x:row r="22" ht="42" customHeight="1">
      <x:c r="A22" s="15" t="str">
        <x:v>src_tianji_marvin</x:v>
      </x:c>
      <x:c r="B22" s="15" t="str">
        <x:v>tianji_marvin_m6ccs</x:v>
      </x:c>
      <x:c r="C22" s="15" t="str">
        <x:v>供应商PDF</x:v>
      </x:c>
      <x:c r="D22" s="15" t="str">
        <x:v>Marvin系列 三折页 250721-CN.pdf</x:v>
      </x:c>
      <x:c r="E22" s="15" t="str">
        <x:v>sources/raw/03_天机智能_Marvin/01_Marvin双臂/Marvin系列 三折页 250721-CN.pdf</x:v>
      </x:c>
      <x:c r="F22" s="15" t="str">
        <x:v>2025-07</x:v>
      </x:c>
      <x:c r="G22" s="15" t="str">
        <x:v>2026-09-15</x:v>
      </x:c>
      <x:c r="H22" s="15" t="str">
        <x:v>中</x:v>
      </x:c>
      <x:c r="I22" s="15" t="str">
        <x:v>单臂/双臂模块参数，不含标准底盘</x:v>
      </x:c>
    </x:row>
    <x:row r="23" ht="42" customHeight="1">
      <x:c r="A23" s="15" t="str">
        <x:v>src_material_index</x:v>
      </x:c>
      <x:c r="B23" s="15" t="str"/>
      <x:c r="C23" s="15" t="str">
        <x:v>内部索引</x:v>
      </x:c>
      <x:c r="D23" s="15" t="str">
        <x:v>供应链材料索引.md</x:v>
      </x:c>
      <x:c r="E23" s="15" t="str">
        <x:v>sources/raw/00_索引/供应链材料索引.md</x:v>
      </x:c>
      <x:c r="F23" s="15" t="str"/>
      <x:c r="G23" s="15" t="str">
        <x:v>2026-09-15</x:v>
      </x:c>
      <x:c r="H23" s="15" t="str">
        <x:v>中</x:v>
      </x:c>
      <x:c r="I23" s="15" t="str">
        <x:v>原目录索引的归档副本</x:v>
      </x:c>
    </x:row>
    <x:row r="24" ht="42" customHeight="1">
      <x:c r="A24" s="15" t="str">
        <x:v>src_boston_atlas</x:v>
      </x:c>
      <x:c r="B24" s="15" t="str">
        <x:v>boston_atlas_2026</x:v>
      </x:c>
      <x:c r="C24" s="15" t="str">
        <x:v>官方网站</x:v>
      </x:c>
      <x:c r="D24" s="15" t="str">
        <x:v>Atlas产品与规格</x:v>
      </x:c>
      <x:c r="E24" s="15" t="e">
        <x:f>HYPERLINK("https://bostondynamics.com/products/atlas/","https://bostondynamics.com/products/atlas/")</x:f>
        <x:v>HYPERLINK is not implemented. linkLocation=https://bostondynamics.com/products/atlas/, friendlyName=https://bostondynamics.com/products/atlas/</x:v>
      </x:c>
      <x:c r="F24" s="15" t="str"/>
      <x:c r="G24" s="15" t="str">
        <x:v>2026-09-15</x:v>
      </x:c>
      <x:c r="H24" s="15" t="str">
        <x:v>高</x:v>
      </x:c>
      <x:c r="I24" s="15" t="str">
        <x:v>披露56自由度、负载、续航、IP67、工作范围和Orbit集成</x:v>
      </x:c>
    </x:row>
    <x:row r="25" ht="42" customHeight="1">
      <x:c r="A25" s="15" t="str">
        <x:v>src_figure03_product</x:v>
      </x:c>
      <x:c r="B25" s="15" t="str">
        <x:v>figure_03</x:v>
      </x:c>
      <x:c r="C25" s="15" t="str">
        <x:v>官方网站</x:v>
      </x:c>
      <x:c r="D25" s="15" t="str">
        <x:v>Figure 03产品页</x:v>
      </x:c>
      <x:c r="E25" s="15" t="e">
        <x:f>HYPERLINK("https://www.figure.ai/figure","https://www.figure.ai/figure")</x:f>
        <x:v>HYPERLINK is not implemented. linkLocation=https://www.figure.ai/figure, friendlyName=https://www.figure.ai/figure</x:v>
      </x:c>
      <x:c r="F25" s="15" t="str"/>
      <x:c r="G25" s="15" t="str">
        <x:v>2026-09-15</x:v>
      </x:c>
      <x:c r="H25" s="15" t="str">
        <x:v>高</x:v>
      </x:c>
      <x:c r="I25" s="15" t="str">
        <x:v>披露身高、重量、负载、速度和续航</x:v>
      </x:c>
    </x:row>
    <x:row r="26" ht="42" customHeight="1">
      <x:c r="A26" s="15" t="str">
        <x:v>src_figure03_intro</x:v>
      </x:c>
      <x:c r="B26" s="15" t="str">
        <x:v>figure_03</x:v>
      </x:c>
      <x:c r="C26" s="15" t="str">
        <x:v>官方技术文章</x:v>
      </x:c>
      <x:c r="D26" s="15" t="str">
        <x:v>Introducing Figure 03</x:v>
      </x:c>
      <x:c r="E26" s="15" t="e">
        <x:f>HYPERLINK("https://www.figure.ai/news/introducing-figure-03","https://www.figure.ai/news/introducing-figure-03")</x:f>
        <x:v>HYPERLINK is not implemented. linkLocation=https://www.figure.ai/news/introducing-figure-03, friendlyName=https://www.figure.ai/news/introducing-figure-03</x:v>
      </x:c>
      <x:c r="F26" s="15" t="str">
        <x:v>2025-10-09</x:v>
      </x:c>
      <x:c r="G26" s="15" t="str">
        <x:v>2026-09-15</x:v>
      </x:c>
      <x:c r="H26" s="15" t="str">
        <x:v>高</x:v>
      </x:c>
      <x:c r="I26" s="15" t="str">
        <x:v>披露触觉、感知、充电、电池安全和量产设计</x:v>
      </x:c>
    </x:row>
    <x:row r="27" ht="42" customHeight="1">
      <x:c r="A27" s="15" t="str">
        <x:v>src_figure03_bmw</x:v>
      </x:c>
      <x:c r="B27" s="15" t="str">
        <x:v>figure_03</x:v>
      </x:c>
      <x:c r="C27" s="15" t="str">
        <x:v>官方客户进展</x:v>
      </x:c>
      <x:c r="D27" s="15" t="str">
        <x:v>F.03 Arrives at BMW</x:v>
      </x:c>
      <x:c r="E27" s="15" t="e">
        <x:f>HYPERLINK("https://www.figure.ai/news/f-03-at-bmw","https://www.figure.ai/news/f-03-at-bmw")</x:f>
        <x:v>HYPERLINK is not implemented. linkLocation=https://www.figure.ai/news/f-03-at-bmw, friendlyName=https://www.figure.ai/news/f-03-at-bmw</x:v>
      </x:c>
      <x:c r="F27" s="15" t="str">
        <x:v>2026-06-30</x:v>
      </x:c>
      <x:c r="G27" s="15" t="str">
        <x:v>2026-09-15</x:v>
      </x:c>
      <x:c r="H27" s="15" t="str">
        <x:v>高</x:v>
      </x:c>
      <x:c r="I27" s="15" t="str">
        <x:v>披露BMW工厂物流验证和全身操作</x:v>
      </x:c>
    </x:row>
    <x:row r="28" ht="42" customHeight="1">
      <x:c r="A28" s="15" t="str">
        <x:v>src_tesla_ai</x:v>
      </x:c>
      <x:c r="B28" s="15" t="str">
        <x:v>tesla_optimus</x:v>
      </x:c>
      <x:c r="C28" s="15" t="str">
        <x:v>官方网站</x:v>
      </x:c>
      <x:c r="D28" s="15" t="str">
        <x:v>Tesla AI and Robotics</x:v>
      </x:c>
      <x:c r="E28" s="15" t="e">
        <x:f>HYPERLINK("https://www.tesla.com/AI","https://www.tesla.com/AI")</x:f>
        <x:v>HYPERLINK is not implemented. linkLocation=https://www.tesla.com/AI, friendlyName=https://www.tesla.com/AI</x:v>
      </x:c>
      <x:c r="F28" s="15" t="str"/>
      <x:c r="G28" s="15" t="str">
        <x:v>2026-09-15</x:v>
      </x:c>
      <x:c r="H28" s="15" t="str">
        <x:v>高</x:v>
      </x:c>
      <x:c r="I28" s="15" t="str">
        <x:v>仅说明双足通用自主机器人目标；未给工程规格</x:v>
      </x:c>
    </x:row>
    <x:row r="29" ht="42" customHeight="1">
      <x:c r="A29" s="15" t="str">
        <x:v>src_tesla_2026q2</x:v>
      </x:c>
      <x:c r="B29" s="15" t="str">
        <x:v>tesla_optimus</x:v>
      </x:c>
      <x:c r="C29" s="15" t="str">
        <x:v>官方投资者文件</x:v>
      </x:c>
      <x:c r="D29" s="15" t="str">
        <x:v>Tesla 2026 Q2 Update</x:v>
      </x:c>
      <x:c r="E29" s="15" t="e">
        <x:f>HYPERLINK("https://ir.tesla.com/_flysystem/s3/sec/000162828026049213/tsla-20260722-gen.pdf","https://ir.tesla.com/_flysystem/s3/sec/000162828026049213/tsla-20260722-gen.pdf")</x:f>
        <x:v>HYPERLINK is not implemented. linkLocation=https://ir.tesla.com/_flysystem/s3/sec/000162828026049213/tsla-20260722-gen.pdf, friendlyName=https://ir.tesla.com/_flysystem/s3/sec/000162828026049213/tsla-20260722-gen.pdf</x:v>
      </x:c>
      <x:c r="F29" s="15" t="str">
        <x:v>2026-07-22</x:v>
      </x:c>
      <x:c r="G29" s="15" t="str">
        <x:v>2026-09-15</x:v>
      </x:c>
      <x:c r="H29" s="15" t="str">
        <x:v>高</x:v>
      </x:c>
      <x:c r="I29" s="15" t="str">
        <x:v>披露Optimus产线建设与训练数据用途；未给本体规格</x:v>
      </x:c>
    </x:row>
    <x:row r="30" ht="42" customHeight="1">
      <x:c r="A30" s="15" t="str">
        <x:v>src_limx_oli</x:v>
      </x:c>
      <x:c r="B30" s="15" t="str">
        <x:v>limx_oli_edu</x:v>
      </x:c>
      <x:c r="C30" s="15" t="str">
        <x:v>官方网站</x:v>
      </x:c>
      <x:c r="D30" s="15" t="str">
        <x:v>LimX Oli产品参数</x:v>
      </x:c>
      <x:c r="E30" s="15" t="e">
        <x:f>HYPERLINK("https://www.limxdynamics.com/zh/products/oli/spec","https://www.limxdynamics.com/zh/products/oli/spec")</x:f>
        <x:v>HYPERLINK is not implemented. linkLocation=https://www.limxdynamics.com/zh/products/oli/spec, friendlyName=https://www.limxdynamics.com/zh/products/oli/spec</x:v>
      </x:c>
      <x:c r="F30" s="15" t="str"/>
      <x:c r="G30" s="15" t="str">
        <x:v>2026-09-15</x:v>
      </x:c>
      <x:c r="H30" s="15" t="str">
        <x:v>高</x:v>
      </x:c>
      <x:c r="I30" s="15" t="str">
        <x:v>披露自由度、尺寸、负载、续航、算力和开发接口</x:v>
      </x:c>
    </x:row>
    <x:row r="31" ht="42" customHeight="1">
      <x:c r="A31" s="15" t="str">
        <x:v>src_limx_tron2</x:v>
      </x:c>
      <x:c r="B31" s="15" t="str">
        <x:v>limx_tron2_dualarm</x:v>
      </x:c>
      <x:c r="C31" s="15" t="str">
        <x:v>官方网站</x:v>
      </x:c>
      <x:c r="D31" s="15" t="str">
        <x:v>TRON 2产品参数</x:v>
      </x:c>
      <x:c r="E31" s="15" t="e">
        <x:f>HYPERLINK("https://www.limxdynamics.com/zh/products/tron2/spec","https://www.limxdynamics.com/zh/products/tron2/spec")</x:f>
        <x:v>HYPERLINK is not implemented. linkLocation=https://www.limxdynamics.com/zh/products/tron2/spec, friendlyName=https://www.limxdynamics.com/zh/products/tron2/spec</x:v>
      </x:c>
      <x:c r="F31" s="15" t="str"/>
      <x:c r="G31" s="15" t="str">
        <x:v>2026-09-15</x:v>
      </x:c>
      <x:c r="H31" s="15" t="str">
        <x:v>高</x:v>
      </x:c>
      <x:c r="I31" s="15" t="str">
        <x:v>披露双臂负载精度、多形态移动、接口和开发工具</x:v>
      </x:c>
    </x:row>
    <x:row r="32" ht="42" customHeight="1">
      <x:c r="A32" s="15" t="str">
        <x:v>src_galaxea_r1pro_product</x:v>
      </x:c>
      <x:c r="B32" s="15" t="str">
        <x:v>galaxea_r1pro_2026</x:v>
      </x:c>
      <x:c r="C32" s="15" t="str">
        <x:v>官方网站</x:v>
      </x:c>
      <x:c r="D32" s="15" t="str">
        <x:v>R1 Pro产品参数</x:v>
      </x:c>
      <x:c r="E32" s="15" t="e">
        <x:f>HYPERLINK("https://galaxea-ai.com/cn/products/R1-Pro","https://galaxea-ai.com/cn/products/R1-Pro")</x:f>
        <x:v>HYPERLINK is not implemented. linkLocation=https://galaxea-ai.com/cn/products/R1-Pro, friendlyName=https://galaxea-ai.com/cn/products/R1-Pro</x:v>
      </x:c>
      <x:c r="F32" s="15" t="str"/>
      <x:c r="G32" s="15" t="str">
        <x:v>2026-09-15</x:v>
      </x:c>
      <x:c r="H32" s="15" t="str">
        <x:v>高</x:v>
      </x:c>
      <x:c r="I32" s="15" t="str">
        <x:v>披露三舵轮全向底盘、双臂负载、工作空间和算力</x:v>
      </x:c>
    </x:row>
    <x:row r="33" ht="42" customHeight="1">
      <x:c r="A33" s="15" t="str">
        <x:v>src_galaxea_r1pro_docs</x:v>
      </x:c>
      <x:c r="B33" s="15" t="str">
        <x:v>galaxea_r1pro_2026</x:v>
      </x:c>
      <x:c r="C33" s="15" t="str">
        <x:v>官方开发文档</x:v>
      </x:c>
      <x:c r="D33" s="15" t="str">
        <x:v>R1 Pro 2026硬件说明</x:v>
      </x:c>
      <x:c r="E33" s="15" t="e">
        <x:f>HYPERLINK("https://docs.galaxea-dynamics.com/R1Pro/docs/2026/","https://docs.galaxea-dynamics.com/R1Pro/docs/2026/")</x:f>
        <x:v>HYPERLINK is not implemented. linkLocation=https://docs.galaxea-dynamics.com/R1Pro/docs/2026/, friendlyName=https://docs.galaxea-dynamics.com/R1Pro/docs/2026/</x:v>
      </x:c>
      <x:c r="F33" s="15" t="str"/>
      <x:c r="G33" s="15" t="str">
        <x:v>2026-09-15</x:v>
      </x:c>
      <x:c r="H33" s="15" t="str">
        <x:v>高</x:v>
      </x:c>
      <x:c r="I33" s="15" t="str">
        <x:v>披露重量、电池、夹爪、接口和机械臂无制动器风险</x:v>
      </x:c>
    </x:row>
    <x:row r="34" ht="42" customHeight="1">
      <x:c r="A34" s="15" t="str">
        <x:v>src_tars_tianhai</x:v>
      </x:c>
      <x:c r="B34" s="15" t="str">
        <x:v>tars_a1</x:v>
      </x:c>
      <x:c r="C34" s="15" t="str">
        <x:v>客户官方新闻</x:v>
      </x:c>
      <x:c r="D34" s="15" t="str">
        <x:v>天海电子与它石智航战略合作</x:v>
      </x:c>
      <x:c r="E34" s="15" t="e">
        <x:f>HYPERLINK("https://www.thb.com.cn/content/details_17_319668.html","https://www.thb.com.cn/content/details_17_319668.html")</x:f>
        <x:v>HYPERLINK is not implemented. linkLocation=https://www.thb.com.cn/content/details_17_319668.html, friendlyName=https://www.thb.com.cn/content/details_17_319668.html</x:v>
      </x:c>
      <x:c r="F34" s="15" t="str">
        <x:v>2026-06-28</x:v>
      </x:c>
      <x:c r="G34" s="15" t="str">
        <x:v>2026-09-15</x:v>
      </x:c>
      <x:c r="H34" s="15" t="str">
        <x:v>高</x:v>
      </x:c>
      <x:c r="I34" s="15" t="str">
        <x:v>确认汽车线束联合产线与近半年联合攻坚</x:v>
      </x:c>
    </x:row>
    <x:row r="35" ht="42" customHeight="1">
      <x:c r="A35" s="15" t="str">
        <x:v>src_tars_shanghai</x:v>
      </x:c>
      <x:c r="B35" s="15" t="str">
        <x:v>tars_a1</x:v>
      </x:c>
      <x:c r="C35" s="15" t="str">
        <x:v>政府官方信息</x:v>
      </x:c>
      <x:c r="D35" s="15" t="str">
        <x:v>它石智航产业化闭环</x:v>
      </x:c>
      <x:c r="E35" s="15" t="e">
        <x:f>HYPERLINK("https://www.sheitc.sh.gov.cn/zxxx/20260710/480d32461ca145e3bf067ce67dc6c203.html","https://www.sheitc.sh.gov.cn/zxxx/20260710/480d32461ca145e3bf067ce67dc6c203.html")</x:f>
        <x:v>HYPERLINK is not implemented. linkLocation=https://www.sheitc.sh.gov.cn/zxxx/20260710/480d32461ca145e3bf067ce67dc6c203.html, friendlyName=https://www.sheitc.sh.gov.cn/zxxx/20260710/480d32461ca145e3bf067ce67dc6c203.html</x:v>
      </x:c>
      <x:c r="F35" s="15" t="str">
        <x:v>2026-07-10</x:v>
      </x:c>
      <x:c r="G35" s="15" t="str">
        <x:v>2026-09-15</x:v>
      </x:c>
      <x:c r="H35" s="15" t="str">
        <x:v>高</x:v>
      </x:c>
      <x:c r="I35" s="15" t="str">
        <x:v>披露安波福百台计划、33类场景、46工位和DexHand</x:v>
      </x:c>
    </x:row>
    <x:row r="36" ht="42" customHeight="1">
      <x:c r="A36" s="15" t="str">
        <x:v>src_tars_guinness</x:v>
      </x:c>
      <x:c r="B36" s="15" t="str">
        <x:v>tars_a1</x:v>
      </x:c>
      <x:c r="C36" s="15" t="str">
        <x:v>独立纪录机构</x:v>
      </x:c>
      <x:c r="D36" s="15" t="str">
        <x:v>Most sub-millimeter wire harness assembled by a robot in one hour</x:v>
      </x:c>
      <x:c r="E36" s="15" t="e">
        <x:f>HYPERLINK("https://guinnessworldrecords.com.br/world-records/782788-most-sub-millimeter-wire-harness-assembled-by-a-robot-in-one-hour","https://guinnessworldrecords.com.br/world-records/782788-most-sub-millimeter-wire-harness-assembled-by-a-robot-in-one-hour")</x:f>
        <x:v>HYPERLINK is not implemented. linkLocation=https://guinnessworldrecords.com.br/world-records/782788-most-sub-millimeter-wire-harness-assembled-by-a-robot-in-one-hour, friendlyName=https://guinnessworldrecords.com.br/world-records/782788-most-sub-millimeter-wire-harness-assembled-by-a-robot-in-one-hour</x:v>
      </x:c>
      <x:c r="F36" s="15" t="str"/>
      <x:c r="G36" s="15" t="str">
        <x:v>2026-09-15</x:v>
      </x:c>
      <x:c r="H36" s="15" t="str">
        <x:v>高</x:v>
      </x:c>
      <x:c r="I36" s="15" t="str">
        <x:v>确认一小时105次亚毫米线束装配纪录</x:v>
      </x:c>
    </x:row>
    <x:row r="37" ht="42" customHeight="1">
      <x:c r="A37" s="15" t="str">
        <x:v>src_tars_internal</x:v>
      </x:c>
      <x:c r="B37" s="15" t="str">
        <x:v>tars_a1</x:v>
      </x:c>
      <x:c r="C37" s="15" t="str">
        <x:v>内部沟通</x:v>
      </x:c>
      <x:c r="D37" s="15" t="str">
        <x:v>它石线束部署与工程问题纪要</x:v>
      </x:c>
      <x:c r="E37" s="15" t="str">
        <x:v>conversation-context:2026-09-15</x:v>
      </x:c>
      <x:c r="F37" s="15" t="str">
        <x:v>2026-09-15</x:v>
      </x:c>
      <x:c r="G37" s="15" t="str">
        <x:v>2026-09-15</x:v>
      </x:c>
      <x:c r="H37" s="15" t="str">
        <x:v>待核验</x:v>
      </x:c>
      <x:c r="I37" s="15" t="str">
        <x:v>反馈百台部署尚未达到要求并存在臂展、工装耗材、夹爪和MES依赖问题</x:v>
      </x:c>
    </x:row>
  </x:sheetData>
  <x:mergeCells>
    <x:mergeCell ref="A1:I1"/>
  </x:mergeCells>
  <x:pageMargins left="0.7" right="0.7" top="0.75" bottom="0.75" header="0.3" footer="0.3"/>
  <x:tableParts count="1">
    <x:tablePart xmlns:r="http://schemas.openxmlformats.org/officeDocument/2006/relationships" r:id="R5b3be9ef54844195"/>
  </x:tableParts>
</x:worksheet>
</file>